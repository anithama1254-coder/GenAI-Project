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21f52a343de203/Desktop/Syllabus - Notes/"/>
    </mc:Choice>
  </mc:AlternateContent>
  <xr:revisionPtr revIDLastSave="859" documentId="8_{1D92BC57-2B2D-45DF-9B7D-5040913AB247}" xr6:coauthVersionLast="47" xr6:coauthVersionMax="47" xr10:uidLastSave="{D7B9EC6B-B207-4CF4-A096-7E1193C90C4E}"/>
  <bookViews>
    <workbookView xWindow="-108" yWindow="-108" windowWidth="23256" windowHeight="12456" firstSheet="4" activeTab="8" xr2:uid="{A7430174-06BC-43CC-9E36-21B8F1A57BF1}"/>
  </bookViews>
  <sheets>
    <sheet name="Sheet2" sheetId="21" r:id="rId1"/>
    <sheet name="29.8.24" sheetId="1" r:id="rId2"/>
    <sheet name="Des stat" sheetId="2" r:id="rId3"/>
    <sheet name="Sheet1" sheetId="10" r:id="rId4"/>
    <sheet name="Corr" sheetId="5" r:id="rId5"/>
    <sheet name="Covar" sheetId="7" r:id="rId6"/>
    <sheet name="Histogram" sheetId="8" r:id="rId7"/>
    <sheet name="Sheet9" sheetId="9" state="hidden" r:id="rId8"/>
    <sheet name="30.8.24" sheetId="14" r:id="rId9"/>
    <sheet name="EXP smoothing" sheetId="15" r:id="rId10"/>
    <sheet name="P-value" sheetId="16" r:id="rId11"/>
    <sheet name="Annova" sheetId="18" r:id="rId12"/>
    <sheet name="Lin Reg" sheetId="19" r:id="rId13"/>
    <sheet name="Sheet8" sheetId="20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6" l="1"/>
  <c r="C18" i="16"/>
  <c r="A16" i="16"/>
  <c r="A15" i="16"/>
  <c r="C14" i="16"/>
  <c r="C16" i="16"/>
  <c r="C15" i="16"/>
  <c r="C53" i="14"/>
  <c r="C54" i="14" s="1"/>
  <c r="C55" i="14" s="1"/>
  <c r="C56" i="14" s="1"/>
  <c r="C57" i="14" s="1"/>
  <c r="C58" i="14" s="1"/>
  <c r="C59" i="14" s="1"/>
  <c r="C60" i="14" s="1"/>
  <c r="C52" i="14"/>
  <c r="D9" i="14"/>
  <c r="D8" i="14"/>
  <c r="D7" i="14"/>
  <c r="D6" i="14"/>
  <c r="D5" i="14"/>
  <c r="D4" i="14"/>
  <c r="D3" i="14"/>
  <c r="D4" i="7" l="1"/>
  <c r="C3" i="7"/>
  <c r="B2" i="7"/>
</calcChain>
</file>

<file path=xl/sharedStrings.xml><?xml version="1.0" encoding="utf-8"?>
<sst xmlns="http://schemas.openxmlformats.org/spreadsheetml/2006/main" count="414" uniqueCount="215">
  <si>
    <t>Student</t>
  </si>
  <si>
    <t>Math</t>
  </si>
  <si>
    <t>Science</t>
  </si>
  <si>
    <t>English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</si>
  <si>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</si>
  <si>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</si>
  <si>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</si>
  <si>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</si>
  <si>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</si>
  <si>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</si>
  <si>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</si>
  <si>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</si>
  <si>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</si>
  <si>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</si>
  <si>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</si>
  <si>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</si>
  <si>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</si>
  <si>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</si>
  <si>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</si>
  <si>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</si>
  <si>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</si>
  <si>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</si>
  <si>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</si>
  <si>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</si>
  <si>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</si>
  <si>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</si>
  <si>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</si>
  <si>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Select input range → e.g., B1:D11 (Math, Science, English).</t>
  </si>
  <si>
    <t>Output range → choose a blank cell (like F1).</t>
  </si>
  <si>
    <t>Click OK.</t>
  </si>
  <si>
    <t xml:space="preserve">Science </t>
  </si>
  <si>
    <t>Descriptive statistics</t>
  </si>
  <si>
    <r>
      <t>What it does</t>
    </r>
    <r>
      <rPr>
        <sz val="16"/>
        <color theme="1"/>
        <rFont val="Calibri"/>
        <family val="2"/>
        <scheme val="minor"/>
      </rPr>
      <t>: Gives summary statistics (mean, median, mode, standard deviation, variance, range, etc.) for a dataset.</t>
    </r>
  </si>
  <si>
    <r>
      <t xml:space="preserve">Go to </t>
    </r>
    <r>
      <rPr>
        <b/>
        <sz val="16"/>
        <color theme="1"/>
        <rFont val="Calibri"/>
        <family val="2"/>
        <scheme val="minor"/>
      </rPr>
      <t>Data → Data Analysis → Descriptive Statistics</t>
    </r>
    <r>
      <rPr>
        <sz val="16"/>
        <color theme="1"/>
        <rFont val="Calibri"/>
        <family val="2"/>
        <scheme val="minor"/>
      </rPr>
      <t>.</t>
    </r>
  </si>
  <si>
    <r>
      <t xml:space="preserve">Check </t>
    </r>
    <r>
      <rPr>
        <b/>
        <sz val="16"/>
        <color theme="1"/>
        <rFont val="Calibri"/>
        <family val="2"/>
        <scheme val="minor"/>
      </rPr>
      <t>Labels in First Row</t>
    </r>
    <r>
      <rPr>
        <sz val="16"/>
        <color theme="1"/>
        <rFont val="Calibri"/>
        <family val="2"/>
        <scheme val="minor"/>
      </rPr>
      <t>.</t>
    </r>
  </si>
  <si>
    <r>
      <t xml:space="preserve">Select </t>
    </r>
    <r>
      <rPr>
        <b/>
        <sz val="16"/>
        <color theme="1"/>
        <rFont val="Calibri"/>
        <family val="2"/>
        <scheme val="minor"/>
      </rPr>
      <t>Summary Statistics</t>
    </r>
    <r>
      <rPr>
        <sz val="16"/>
        <color theme="1"/>
        <rFont val="Calibri"/>
        <family val="2"/>
        <scheme val="minor"/>
      </rPr>
      <t>.</t>
    </r>
  </si>
  <si>
    <r>
      <t>What it does</t>
    </r>
    <r>
      <rPr>
        <sz val="11"/>
        <color theme="1"/>
        <rFont val="Calibri"/>
        <family val="2"/>
        <scheme val="minor"/>
      </rPr>
      <t>:</t>
    </r>
  </si>
  <si>
    <t>+1 = strong positive relationship (both increase together).</t>
  </si>
  <si>
    <t>-1 = strong negative relationship (one goes up, other goes down).</t>
  </si>
  <si>
    <t>0 = no relationship.</t>
  </si>
  <si>
    <t>Correlation</t>
  </si>
  <si>
    <r>
      <t>What it does</t>
    </r>
    <r>
      <rPr>
        <sz val="18"/>
        <color theme="1"/>
        <rFont val="Calibri"/>
        <family val="2"/>
        <scheme val="minor"/>
      </rPr>
      <t>:</t>
    </r>
  </si>
  <si>
    <r>
      <t xml:space="preserve">Measures the </t>
    </r>
    <r>
      <rPr>
        <b/>
        <sz val="18"/>
        <color theme="1"/>
        <rFont val="Calibri"/>
        <family val="2"/>
        <scheme val="minor"/>
      </rPr>
      <t>relationship between two variables</t>
    </r>
    <r>
      <rPr>
        <sz val="18"/>
        <color theme="1"/>
        <rFont val="Calibri"/>
        <family val="2"/>
        <scheme val="minor"/>
      </rPr>
      <t xml:space="preserve"> (ranges from -1 to +1).</t>
    </r>
  </si>
  <si>
    <r>
      <t xml:space="preserve">Go to </t>
    </r>
    <r>
      <rPr>
        <b/>
        <sz val="11"/>
        <color theme="1"/>
        <rFont val="Calibri"/>
        <family val="2"/>
        <scheme val="minor"/>
      </rPr>
      <t>Data → Data Analysis → Correlation</t>
    </r>
    <r>
      <rPr>
        <sz val="11"/>
        <color theme="1"/>
        <rFont val="Calibri"/>
        <family val="2"/>
        <scheme val="minor"/>
      </rPr>
      <t>.</t>
    </r>
  </si>
  <si>
    <r>
      <t xml:space="preserve">Select input range: </t>
    </r>
    <r>
      <rPr>
        <b/>
        <sz val="11"/>
        <color theme="1"/>
        <rFont val="Calibri"/>
        <family val="2"/>
        <scheme val="minor"/>
      </rPr>
      <t>B1:D11</t>
    </r>
    <r>
      <rPr>
        <sz val="11"/>
        <color theme="1"/>
        <rFont val="Calibri"/>
        <family val="2"/>
        <scheme val="minor"/>
      </rPr>
      <t xml:space="preserve"> (Math, Science, English).</t>
    </r>
  </si>
  <si>
    <r>
      <t xml:space="preserve">Check </t>
    </r>
    <r>
      <rPr>
        <b/>
        <sz val="11"/>
        <color theme="1"/>
        <rFont val="Calibri"/>
        <family val="2"/>
        <scheme val="minor"/>
      </rPr>
      <t>Labels in first row</t>
    </r>
    <r>
      <rPr>
        <sz val="11"/>
        <color theme="1"/>
        <rFont val="Calibri"/>
        <family val="2"/>
        <scheme val="minor"/>
      </rPr>
      <t>.</t>
    </r>
  </si>
  <si>
    <t>Output range: e.g., F20.</t>
  </si>
  <si>
    <t>Covariance</t>
  </si>
  <si>
    <t>Positive = variables move together.</t>
  </si>
  <si>
    <t>Negative = move in opposite directions.</t>
  </si>
  <si>
    <t>Unlike correlation, the number depends on the scale of data (not always between -1 and +1).</t>
  </si>
  <si>
    <r>
      <t xml:space="preserve">Go to </t>
    </r>
    <r>
      <rPr>
        <b/>
        <sz val="11"/>
        <color theme="1"/>
        <rFont val="Calibri"/>
        <family val="2"/>
        <scheme val="minor"/>
      </rPr>
      <t>Data → Data Analysis → Covariance</t>
    </r>
    <r>
      <rPr>
        <sz val="11"/>
        <color theme="1"/>
        <rFont val="Calibri"/>
        <family val="2"/>
        <scheme val="minor"/>
      </rPr>
      <t>.</t>
    </r>
  </si>
  <si>
    <r>
      <t xml:space="preserve">Input range: </t>
    </r>
    <r>
      <rPr>
        <b/>
        <sz val="11"/>
        <color theme="1"/>
        <rFont val="Calibri"/>
        <family val="2"/>
        <scheme val="minor"/>
      </rPr>
      <t>B1:D11</t>
    </r>
    <r>
      <rPr>
        <sz val="11"/>
        <color theme="1"/>
        <rFont val="Calibri"/>
        <family val="2"/>
        <scheme val="minor"/>
      </rPr>
      <t>.</t>
    </r>
  </si>
  <si>
    <t>Labels in first row → checked.</t>
  </si>
  <si>
    <t>Output range → F35.</t>
  </si>
  <si>
    <t>Click OK</t>
  </si>
  <si>
    <t>Bin</t>
  </si>
  <si>
    <t>More</t>
  </si>
  <si>
    <t>Frequency</t>
  </si>
  <si>
    <t>60</t>
  </si>
  <si>
    <t>Histogram</t>
  </si>
  <si>
    <r>
      <t xml:space="preserve">Shows the </t>
    </r>
    <r>
      <rPr>
        <b/>
        <sz val="11"/>
        <color theme="1"/>
        <rFont val="Calibri"/>
        <family val="2"/>
        <scheme val="minor"/>
      </rPr>
      <t>frequency distribution</t>
    </r>
    <r>
      <rPr>
        <sz val="11"/>
        <color theme="1"/>
        <rFont val="Calibri"/>
        <family val="2"/>
        <scheme val="minor"/>
      </rPr>
      <t xml:space="preserve"> of values.</t>
    </r>
  </si>
  <si>
    <t>Helps to see if scores are spread normally or skewed.</t>
  </si>
  <si>
    <r>
      <t>Steps in Excel</t>
    </r>
    <r>
      <rPr>
        <sz val="11"/>
        <color theme="1"/>
        <rFont val="Calibri"/>
        <family val="2"/>
        <scheme val="minor"/>
      </rPr>
      <t>:</t>
    </r>
  </si>
  <si>
    <t>1. Decide bins (ranges). Example bins: 60, 70, 80, 90, 100. (Put them in column F).</t>
  </si>
  <si>
    <r>
      <t xml:space="preserve">2. Go to </t>
    </r>
    <r>
      <rPr>
        <b/>
        <sz val="11"/>
        <color theme="1"/>
        <rFont val="Calibri"/>
        <family val="2"/>
        <scheme val="minor"/>
      </rPr>
      <t>Data → Data Analysis → Histogram</t>
    </r>
    <r>
      <rPr>
        <sz val="11"/>
        <color theme="1"/>
        <rFont val="Calibri"/>
        <family val="2"/>
        <scheme val="minor"/>
      </rPr>
      <t>.</t>
    </r>
  </si>
  <si>
    <r>
      <t xml:space="preserve">3. Input range: </t>
    </r>
    <r>
      <rPr>
        <b/>
        <sz val="11"/>
        <color theme="1"/>
        <rFont val="Calibri"/>
        <family val="2"/>
        <scheme val="minor"/>
      </rPr>
      <t>B2:B11</t>
    </r>
    <r>
      <rPr>
        <sz val="11"/>
        <color theme="1"/>
        <rFont val="Calibri"/>
        <family val="2"/>
        <scheme val="minor"/>
      </rPr>
      <t xml:space="preserve"> (Math scores).</t>
    </r>
  </si>
  <si>
    <r>
      <t xml:space="preserve">4. Bin range: </t>
    </r>
    <r>
      <rPr>
        <b/>
        <sz val="11"/>
        <color theme="1"/>
        <rFont val="Calibri"/>
        <family val="2"/>
        <scheme val="minor"/>
      </rPr>
      <t>F1:F5</t>
    </r>
    <r>
      <rPr>
        <sz val="11"/>
        <color theme="1"/>
        <rFont val="Calibri"/>
        <family val="2"/>
        <scheme val="minor"/>
      </rPr>
      <t>.</t>
    </r>
  </si>
  <si>
    <t>5. Output range: H1.</t>
  </si>
  <si>
    <r>
      <t xml:space="preserve">6. Select </t>
    </r>
    <r>
      <rPr>
        <b/>
        <sz val="11"/>
        <color theme="1"/>
        <rFont val="Calibri"/>
        <family val="2"/>
        <scheme val="minor"/>
      </rPr>
      <t>Chart Output</t>
    </r>
    <r>
      <rPr>
        <sz val="11"/>
        <color theme="1"/>
        <rFont val="Calibri"/>
        <family val="2"/>
        <scheme val="minor"/>
      </rPr>
      <t>.</t>
    </r>
  </si>
  <si>
    <t>7. Click OK.</t>
  </si>
  <si>
    <t>✅ How to Get "Data Analysis" in Your Ribbon</t>
  </si>
  <si>
    <r>
      <t xml:space="preserve">1. Go to the </t>
    </r>
    <r>
      <rPr>
        <b/>
        <sz val="20"/>
        <color theme="1"/>
        <rFont val="Calibri"/>
        <family val="2"/>
        <scheme val="minor"/>
      </rPr>
      <t>File</t>
    </r>
    <r>
      <rPr>
        <sz val="20"/>
        <color theme="1"/>
        <rFont val="Calibri"/>
        <family val="2"/>
        <scheme val="minor"/>
      </rPr>
      <t xml:space="preserve"> menu (top-left of Excel).</t>
    </r>
  </si>
  <si>
    <r>
      <t xml:space="preserve">2. Choose </t>
    </r>
    <r>
      <rPr>
        <b/>
        <sz val="20"/>
        <color theme="1"/>
        <rFont val="Calibri"/>
        <family val="2"/>
        <scheme val="minor"/>
      </rPr>
      <t>Options</t>
    </r>
    <r>
      <rPr>
        <sz val="20"/>
        <color theme="1"/>
        <rFont val="Calibri"/>
        <family val="2"/>
        <scheme val="minor"/>
      </rPr>
      <t xml:space="preserve"> (at the bottom).</t>
    </r>
  </si>
  <si>
    <r>
      <t xml:space="preserve">3. In the Excel Options window → Click </t>
    </r>
    <r>
      <rPr>
        <b/>
        <sz val="20"/>
        <color theme="1"/>
        <rFont val="Calibri"/>
        <family val="2"/>
        <scheme val="minor"/>
      </rPr>
      <t>Add-ins</t>
    </r>
    <r>
      <rPr>
        <sz val="20"/>
        <color theme="1"/>
        <rFont val="Calibri"/>
        <family val="2"/>
        <scheme val="minor"/>
      </rPr>
      <t xml:space="preserve"> (left side).</t>
    </r>
  </si>
  <si>
    <r>
      <t xml:space="preserve">4. At the bottom, you’ll see </t>
    </r>
    <r>
      <rPr>
        <b/>
        <sz val="20"/>
        <color theme="1"/>
        <rFont val="Calibri"/>
        <family val="2"/>
        <scheme val="minor"/>
      </rPr>
      <t>Manage: Excel Add-ins</t>
    </r>
    <r>
      <rPr>
        <sz val="20"/>
        <color theme="1"/>
        <rFont val="Calibri"/>
        <family val="2"/>
        <scheme val="minor"/>
      </rPr>
      <t xml:space="preserve"> → click </t>
    </r>
    <r>
      <rPr>
        <b/>
        <sz val="20"/>
        <color theme="1"/>
        <rFont val="Calibri"/>
        <family val="2"/>
        <scheme val="minor"/>
      </rPr>
      <t>Go…</t>
    </r>
    <r>
      <rPr>
        <sz val="20"/>
        <color theme="1"/>
        <rFont val="Calibri"/>
        <family val="2"/>
        <scheme val="minor"/>
      </rPr>
      <t>.</t>
    </r>
  </si>
  <si>
    <r>
      <t xml:space="preserve">5. In the popup </t>
    </r>
    <r>
      <rPr>
        <b/>
        <sz val="20"/>
        <color theme="1"/>
        <rFont val="Calibri"/>
        <family val="2"/>
        <scheme val="minor"/>
      </rPr>
      <t>Add-ins available</t>
    </r>
    <r>
      <rPr>
        <sz val="20"/>
        <color theme="1"/>
        <rFont val="Calibri"/>
        <family val="2"/>
        <scheme val="minor"/>
      </rPr>
      <t xml:space="preserve"> list → tick ✔ </t>
    </r>
    <r>
      <rPr>
        <b/>
        <sz val="20"/>
        <color theme="1"/>
        <rFont val="Calibri"/>
        <family val="2"/>
        <scheme val="minor"/>
      </rPr>
      <t>Analysis ToolPak</t>
    </r>
    <r>
      <rPr>
        <sz val="20"/>
        <color theme="1"/>
        <rFont val="Calibri"/>
        <family val="2"/>
        <scheme val="minor"/>
      </rPr>
      <t>.</t>
    </r>
  </si>
  <si>
    <r>
      <t xml:space="preserve">6. Click </t>
    </r>
    <r>
      <rPr>
        <b/>
        <sz val="20"/>
        <color theme="1"/>
        <rFont val="Calibri"/>
        <family val="2"/>
        <scheme val="minor"/>
      </rPr>
      <t>OK.</t>
    </r>
  </si>
  <si>
    <r>
      <t>What it does</t>
    </r>
    <r>
      <rPr>
        <sz val="22"/>
        <color theme="1"/>
        <rFont val="Calibri"/>
        <family val="2"/>
        <scheme val="minor"/>
      </rPr>
      <t>:</t>
    </r>
  </si>
  <si>
    <r>
      <t xml:space="preserve">Similar to correlation, but instead of standardizing values, it gives the </t>
    </r>
    <r>
      <rPr>
        <b/>
        <sz val="22"/>
        <color theme="1"/>
        <rFont val="Calibri"/>
        <family val="2"/>
        <scheme val="minor"/>
      </rPr>
      <t>raw covariance</t>
    </r>
    <r>
      <rPr>
        <sz val="22"/>
        <color theme="1"/>
        <rFont val="Calibri"/>
        <family val="2"/>
        <scheme val="minor"/>
      </rPr>
      <t>.</t>
    </r>
  </si>
  <si>
    <t>B1:D11</t>
  </si>
  <si>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</si>
  <si>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</si>
  <si>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</si>
  <si>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</si>
  <si>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</si>
  <si>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</si>
  <si>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</si>
  <si>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</si>
  <si>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</si>
  <si>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</si>
  <si>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</si>
  <si>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</si>
  <si>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r>
      <t xml:space="preserve">For </t>
    </r>
    <r>
      <rPr>
        <b/>
        <sz val="11"/>
        <color theme="1"/>
        <rFont val="Calibri"/>
        <family val="2"/>
        <scheme val="minor"/>
      </rPr>
      <t>March (128)</t>
    </r>
    <r>
      <rPr>
        <sz val="11"/>
        <color theme="1"/>
        <rFont val="Calibri"/>
        <family val="2"/>
        <scheme val="minor"/>
      </rPr>
      <t xml:space="preserve"> → Moving Average = Average(Jan, Feb, Mar) = (120+135+128)/3 = </t>
    </r>
    <r>
      <rPr>
        <b/>
        <sz val="11"/>
        <color theme="1"/>
        <rFont val="Calibri"/>
        <family val="2"/>
        <scheme val="minor"/>
      </rPr>
      <t>134.33</t>
    </r>
  </si>
  <si>
    <r>
      <t xml:space="preserve">For </t>
    </r>
    <r>
      <rPr>
        <b/>
        <sz val="11"/>
        <color theme="1"/>
        <rFont val="Calibri"/>
        <family val="2"/>
        <scheme val="minor"/>
      </rPr>
      <t>Apr (140)</t>
    </r>
    <r>
      <rPr>
        <sz val="11"/>
        <color theme="1"/>
        <rFont val="Calibri"/>
        <family val="2"/>
        <scheme val="minor"/>
      </rPr>
      <t xml:space="preserve"> → Average(Feb, Mar, Apr) = (135+128+140)/3 = </t>
    </r>
    <r>
      <rPr>
        <b/>
        <sz val="11"/>
        <color theme="1"/>
        <rFont val="Calibri"/>
        <family val="2"/>
        <scheme val="minor"/>
      </rPr>
      <t>139.33</t>
    </r>
  </si>
  <si>
    <t>This continues until August.</t>
  </si>
  <si>
    <r>
      <t xml:space="preserve">For </t>
    </r>
    <r>
      <rPr>
        <b/>
        <sz val="11"/>
        <color theme="1"/>
        <rFont val="Calibri"/>
        <family val="2"/>
        <scheme val="minor"/>
      </rPr>
      <t>Aug (165)</t>
    </r>
    <r>
      <rPr>
        <sz val="11"/>
        <color theme="1"/>
        <rFont val="Calibri"/>
        <family val="2"/>
        <scheme val="minor"/>
      </rPr>
      <t xml:space="preserve"> → Average(Jun, Jul, Aug) = (160+155+165)/3 = </t>
    </r>
    <r>
      <rPr>
        <b/>
        <sz val="11"/>
        <color theme="1"/>
        <rFont val="Calibri"/>
        <family val="2"/>
        <scheme val="minor"/>
      </rPr>
      <t>160.00</t>
    </r>
  </si>
  <si>
    <r>
      <t xml:space="preserve">For </t>
    </r>
    <r>
      <rPr>
        <b/>
        <sz val="11"/>
        <color theme="1"/>
        <rFont val="Calibri"/>
        <family val="2"/>
        <scheme val="minor"/>
      </rPr>
      <t>Sep (170)</t>
    </r>
    <r>
      <rPr>
        <sz val="11"/>
        <color theme="1"/>
        <rFont val="Calibri"/>
        <family val="2"/>
        <scheme val="minor"/>
      </rPr>
      <t xml:space="preserve"> → Average(Jul, Aug, Sep) = (155+165+170)/3 = </t>
    </r>
    <r>
      <rPr>
        <b/>
        <sz val="11"/>
        <color theme="1"/>
        <rFont val="Calibri"/>
        <family val="2"/>
        <scheme val="minor"/>
      </rPr>
      <t>163.33</t>
    </r>
  </si>
  <si>
    <r>
      <t xml:space="preserve">For </t>
    </r>
    <r>
      <rPr>
        <b/>
        <sz val="11"/>
        <color theme="1"/>
        <rFont val="Calibri"/>
        <family val="2"/>
        <scheme val="minor"/>
      </rPr>
      <t>Oct (180)</t>
    </r>
    <r>
      <rPr>
        <sz val="11"/>
        <color theme="1"/>
        <rFont val="Calibri"/>
        <family val="2"/>
        <scheme val="minor"/>
      </rPr>
      <t xml:space="preserve"> → Average(Aug, Sep, Oct) = (165+170+180)/3 = </t>
    </r>
    <r>
      <rPr>
        <b/>
        <sz val="11"/>
        <color theme="1"/>
        <rFont val="Calibri"/>
        <family val="2"/>
        <scheme val="minor"/>
      </rPr>
      <t>171.67</t>
    </r>
  </si>
  <si>
    <r>
      <t xml:space="preserve">The first two months are </t>
    </r>
    <r>
      <rPr>
        <b/>
        <sz val="11"/>
        <color theme="1"/>
        <rFont val="Calibri"/>
        <family val="2"/>
        <scheme val="minor"/>
      </rPr>
      <t>#N/A</t>
    </r>
    <r>
      <rPr>
        <sz val="11"/>
        <color theme="1"/>
        <rFont val="Calibri"/>
        <family val="2"/>
        <scheme val="minor"/>
      </rPr>
      <t xml:space="preserve"> because you need at least 3 months of data to calculate a 3-month moving average.</t>
    </r>
  </si>
  <si>
    <t>1. Short-term ups and downs</t>
  </si>
  <si>
    <t>In real data (like sales, stock prices, or daily temperatures), values don’t move in a straight line.</t>
  </si>
  <si>
    <t>Example:</t>
  </si>
  <si>
    <t>Sales = 120 → 135 → 128 → 140 → 150</t>
  </si>
  <si>
    <r>
      <t xml:space="preserve">Here, 135 → 128 is a small </t>
    </r>
    <r>
      <rPr>
        <b/>
        <sz val="11"/>
        <color theme="1"/>
        <rFont val="Calibri"/>
        <family val="2"/>
        <scheme val="minor"/>
      </rPr>
      <t>dip</t>
    </r>
    <r>
      <rPr>
        <sz val="11"/>
        <color theme="1"/>
        <rFont val="Calibri"/>
        <family val="2"/>
        <scheme val="minor"/>
      </rPr>
      <t xml:space="preserve"> (down), then it jumps back up.</t>
    </r>
  </si>
  <si>
    <r>
      <t xml:space="preserve">These small jumps are called </t>
    </r>
    <r>
      <rPr>
        <b/>
        <sz val="11"/>
        <color theme="1"/>
        <rFont val="Calibri"/>
        <family val="2"/>
        <scheme val="minor"/>
      </rPr>
      <t>short-term fluctuations (noise)</t>
    </r>
    <r>
      <rPr>
        <sz val="11"/>
        <color theme="1"/>
        <rFont val="Calibri"/>
        <family val="2"/>
        <scheme val="minor"/>
      </rPr>
      <t>.</t>
    </r>
  </si>
  <si>
    <t>2. Remove ups and downs</t>
  </si>
  <si>
    <r>
      <t xml:space="preserve">A </t>
    </r>
    <r>
      <rPr>
        <b/>
        <sz val="11"/>
        <color theme="1"/>
        <rFont val="Calibri"/>
        <family val="2"/>
        <scheme val="minor"/>
      </rPr>
      <t>moving average</t>
    </r>
    <r>
      <rPr>
        <sz val="11"/>
        <color theme="1"/>
        <rFont val="Calibri"/>
        <family val="2"/>
        <scheme val="minor"/>
      </rPr>
      <t xml:space="preserve"> takes the average of a few periods (like 3 months).</t>
    </r>
  </si>
  <si>
    <t>This averaging smooths the zig-zag.</t>
  </si>
  <si>
    <t>Instead of focusing on the dip at 128, the moving average line rises steadily around 134 → 139 → 150.</t>
  </si>
  <si>
    <t>The dip gets “softened.”</t>
  </si>
  <si>
    <t>3. See long-term direction (trend)</t>
  </si>
  <si>
    <r>
      <t xml:space="preserve">After removing the noise, we can see the </t>
    </r>
    <r>
      <rPr>
        <b/>
        <sz val="11"/>
        <color theme="1"/>
        <rFont val="Calibri"/>
        <family val="2"/>
        <scheme val="minor"/>
      </rPr>
      <t>overall growth pattern</t>
    </r>
    <r>
      <rPr>
        <sz val="11"/>
        <color theme="1"/>
        <rFont val="Calibri"/>
        <family val="2"/>
        <scheme val="minor"/>
      </rPr>
      <t>.</t>
    </r>
  </si>
  <si>
    <r>
      <t xml:space="preserve">In your case, sales are </t>
    </r>
    <r>
      <rPr>
        <b/>
        <sz val="11"/>
        <color theme="1"/>
        <rFont val="Calibri"/>
        <family val="2"/>
        <scheme val="minor"/>
      </rPr>
      <t>increasing steadily from 120 → 180</t>
    </r>
    <r>
      <rPr>
        <sz val="11"/>
        <color theme="1"/>
        <rFont val="Calibri"/>
        <family val="2"/>
        <scheme val="minor"/>
      </rPr>
      <t>.</t>
    </r>
  </si>
  <si>
    <t>The moving average makes this growth trend clear, without being distracted by small ups and downs.</t>
  </si>
  <si>
    <t>Exponential Smoothing</t>
  </si>
  <si>
    <t>Data Points:</t>
  </si>
  <si>
    <r>
      <t>A data point is </t>
    </r>
    <r>
      <rPr>
        <sz val="10"/>
        <color rgb="FF040C28"/>
        <rFont val="Arial"/>
        <family val="2"/>
      </rPr>
      <t xml:space="preserve">a single piece of information or observation that represents </t>
    </r>
  </si>
  <si>
    <t>a specific value or characteristic within a larger dataset. It can be a numerical value, text, or even an image.</t>
  </si>
  <si>
    <r>
      <t xml:space="preserve">Similar to moving average, but gives </t>
    </r>
    <r>
      <rPr>
        <b/>
        <sz val="11"/>
        <color theme="1"/>
        <rFont val="Calibri"/>
        <family val="2"/>
        <scheme val="minor"/>
      </rPr>
      <t>more weight to recent values</t>
    </r>
    <r>
      <rPr>
        <sz val="11"/>
        <color theme="1"/>
        <rFont val="Calibri"/>
        <family val="2"/>
        <scheme val="minor"/>
      </rPr>
      <t>.</t>
    </r>
  </si>
  <si>
    <t>Formula: St=αYt+(1−α)St−1S_t = \alpha Y_t + (1-\alpha)S_{t-1}St​=αYt​+(1−α)St−1​</t>
  </si>
  <si>
    <r>
      <t xml:space="preserve">1. Go to </t>
    </r>
    <r>
      <rPr>
        <b/>
        <sz val="11"/>
        <color theme="1"/>
        <rFont val="Calibri"/>
        <family val="2"/>
        <scheme val="minor"/>
      </rPr>
      <t>Data → Data Analysis → Exponential Smoothing</t>
    </r>
    <r>
      <rPr>
        <sz val="11"/>
        <color theme="1"/>
        <rFont val="Calibri"/>
        <family val="2"/>
        <scheme val="minor"/>
      </rPr>
      <t>.</t>
    </r>
  </si>
  <si>
    <t>2. Input range: Sales data (B1:B11).</t>
  </si>
  <si>
    <t>3. Damping factor (α): e.g., 0.3.</t>
  </si>
  <si>
    <t>4. Output range: F1.</t>
  </si>
  <si>
    <r>
      <t xml:space="preserve">5. Check </t>
    </r>
    <r>
      <rPr>
        <b/>
        <sz val="11"/>
        <color theme="1"/>
        <rFont val="Calibri"/>
        <family val="2"/>
        <scheme val="minor"/>
      </rPr>
      <t>Chart Output</t>
    </r>
    <r>
      <rPr>
        <sz val="11"/>
        <color theme="1"/>
        <rFont val="Calibri"/>
        <family val="2"/>
        <scheme val="minor"/>
      </rPr>
      <t>.</t>
    </r>
  </si>
  <si>
    <t>6. Click OK.</t>
  </si>
  <si>
    <r>
      <t>Result</t>
    </r>
    <r>
      <rPr>
        <sz val="11"/>
        <color theme="1"/>
        <rFont val="Calibri"/>
        <family val="2"/>
        <scheme val="minor"/>
      </rPr>
      <t>:</t>
    </r>
  </si>
  <si>
    <t>Creates a smooth forecast line, reacting faster to changes than moving average.</t>
  </si>
  <si>
    <t>2.Exponential Smoothing</t>
  </si>
  <si>
    <t>1.How it’s calculated:</t>
  </si>
  <si>
    <t>F-Test Two-Sample for Variances</t>
  </si>
  <si>
    <r>
      <t xml:space="preserve">Compares the </t>
    </r>
    <r>
      <rPr>
        <b/>
        <sz val="11"/>
        <color theme="1"/>
        <rFont val="Calibri"/>
        <family val="2"/>
        <scheme val="minor"/>
      </rPr>
      <t>variances</t>
    </r>
    <r>
      <rPr>
        <sz val="11"/>
        <color theme="1"/>
        <rFont val="Calibri"/>
        <family val="2"/>
        <scheme val="minor"/>
      </rPr>
      <t xml:space="preserve"> of two datasets.</t>
    </r>
  </si>
  <si>
    <t>Example: Test if Math scores and Science scores have the same variability.</t>
  </si>
  <si>
    <r>
      <t xml:space="preserve">1. Go to </t>
    </r>
    <r>
      <rPr>
        <b/>
        <sz val="11"/>
        <color theme="1"/>
        <rFont val="Calibri"/>
        <family val="2"/>
        <scheme val="minor"/>
      </rPr>
      <t>Data → Data Analysis → F-Test Two-Sample for Variances</t>
    </r>
    <r>
      <rPr>
        <sz val="11"/>
        <color theme="1"/>
        <rFont val="Calibri"/>
        <family val="2"/>
        <scheme val="minor"/>
      </rPr>
      <t>.</t>
    </r>
  </si>
  <si>
    <t>2. Variable 1 range: Math scores.</t>
  </si>
  <si>
    <t>3. Variable 2 range: Science scores.</t>
  </si>
  <si>
    <t>4. Output range: H1.</t>
  </si>
  <si>
    <t>5. Click OK.</t>
  </si>
  <si>
    <r>
      <t xml:space="preserve">You get </t>
    </r>
    <r>
      <rPr>
        <b/>
        <sz val="11"/>
        <color theme="1"/>
        <rFont val="Calibri"/>
        <family val="2"/>
        <scheme val="minor"/>
      </rPr>
      <t>F-value and p-value</t>
    </r>
    <r>
      <rPr>
        <sz val="11"/>
        <color theme="1"/>
        <rFont val="Calibri"/>
        <family val="2"/>
        <scheme val="minor"/>
      </rPr>
      <t>.</t>
    </r>
  </si>
  <si>
    <t>If p-value &lt; 0.05 → Variances are significantly different.</t>
  </si>
  <si>
    <t>If p-value &gt; 0.05 → Variances are not significantly different.</t>
  </si>
  <si>
    <t>Variance</t>
  </si>
  <si>
    <t>Observations</t>
  </si>
  <si>
    <t>df</t>
  </si>
  <si>
    <t>F</t>
  </si>
  <si>
    <t>P(F&lt;=f) one-tail</t>
  </si>
  <si>
    <t>F Critical one-tail</t>
  </si>
  <si>
    <t>ANOVA (Analysis of Variance)</t>
  </si>
  <si>
    <r>
      <t xml:space="preserve">Checks if </t>
    </r>
    <r>
      <rPr>
        <b/>
        <sz val="11"/>
        <color theme="1"/>
        <rFont val="Calibri"/>
        <family val="2"/>
        <scheme val="minor"/>
      </rPr>
      <t>3 or more group means are equal</t>
    </r>
    <r>
      <rPr>
        <sz val="11"/>
        <color theme="1"/>
        <rFont val="Calibri"/>
        <family val="2"/>
        <scheme val="minor"/>
      </rPr>
      <t xml:space="preserve"> or significantly different.</t>
    </r>
  </si>
  <si>
    <t>Example: Compare if average marks in Math, Science, and English are same.</t>
  </si>
  <si>
    <r>
      <t xml:space="preserve">1. Go to </t>
    </r>
    <r>
      <rPr>
        <b/>
        <sz val="11"/>
        <color theme="1"/>
        <rFont val="Calibri"/>
        <family val="2"/>
        <scheme val="minor"/>
      </rPr>
      <t>Data → Data Analysis → ANOVA: Single Factor</t>
    </r>
    <r>
      <rPr>
        <sz val="11"/>
        <color theme="1"/>
        <rFont val="Calibri"/>
        <family val="2"/>
        <scheme val="minor"/>
      </rPr>
      <t>.</t>
    </r>
  </si>
  <si>
    <t>2. Input range: B1:D11 (all subjects).</t>
  </si>
  <si>
    <r>
      <t xml:space="preserve">3. Check </t>
    </r>
    <r>
      <rPr>
        <b/>
        <sz val="11"/>
        <color theme="1"/>
        <rFont val="Calibri"/>
        <family val="2"/>
        <scheme val="minor"/>
      </rPr>
      <t>Labels in first row</t>
    </r>
    <r>
      <rPr>
        <sz val="11"/>
        <color theme="1"/>
        <rFont val="Calibri"/>
        <family val="2"/>
        <scheme val="minor"/>
      </rPr>
      <t>.</t>
    </r>
  </si>
  <si>
    <t>4. Output range: J1.</t>
  </si>
  <si>
    <r>
      <t xml:space="preserve">You’ll get </t>
    </r>
    <r>
      <rPr>
        <b/>
        <sz val="11"/>
        <color theme="1"/>
        <rFont val="Calibri"/>
        <family val="2"/>
        <scheme val="minor"/>
      </rPr>
      <t>F-statistic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p-value</t>
    </r>
    <r>
      <rPr>
        <sz val="11"/>
        <color theme="1"/>
        <rFont val="Calibri"/>
        <family val="2"/>
        <scheme val="minor"/>
      </rPr>
      <t>.</t>
    </r>
  </si>
  <si>
    <t>If p &lt; 0.05 → At least one subject’s average score is different.</t>
  </si>
  <si>
    <t>Anova: Single Factor</t>
  </si>
  <si>
    <t>SUMMARY</t>
  </si>
  <si>
    <t>Groups</t>
  </si>
  <si>
    <t>Average</t>
  </si>
  <si>
    <t>ANOVA</t>
  </si>
  <si>
    <t>Source of Variation</t>
  </si>
  <si>
    <t>SS</t>
  </si>
  <si>
    <t>MS</t>
  </si>
  <si>
    <t>P-value</t>
  </si>
  <si>
    <t>F crit</t>
  </si>
  <si>
    <t>Between Groups</t>
  </si>
  <si>
    <t>Within Groups</t>
  </si>
  <si>
    <t>Total</t>
  </si>
  <si>
    <r>
      <t>ANOVA (</t>
    </r>
    <r>
      <rPr>
        <b/>
        <sz val="11"/>
        <color theme="1"/>
        <rFont val="Calibri"/>
        <family val="2"/>
        <scheme val="minor"/>
      </rPr>
      <t>Analysis of Variance</t>
    </r>
    <r>
      <rPr>
        <sz val="11"/>
        <color theme="1"/>
        <rFont val="Calibri"/>
        <family val="2"/>
        <scheme val="minor"/>
      </rPr>
      <t xml:space="preserve">) is a test we use when we want to </t>
    </r>
    <r>
      <rPr>
        <b/>
        <sz val="11"/>
        <color theme="1"/>
        <rFont val="Calibri"/>
        <family val="2"/>
        <scheme val="minor"/>
      </rPr>
      <t>compare 2 or more groups</t>
    </r>
    <r>
      <rPr>
        <sz val="11"/>
        <color theme="1"/>
        <rFont val="Calibri"/>
        <family val="2"/>
        <scheme val="minor"/>
      </rPr>
      <t xml:space="preserve"> and see:</t>
    </r>
  </si>
  <si>
    <t>“Are their averages (means) really different, or is the difference just random?”</t>
  </si>
  <si>
    <r>
      <t xml:space="preserve">You are a teacher with </t>
    </r>
    <r>
      <rPr>
        <b/>
        <sz val="11"/>
        <color theme="1"/>
        <rFont val="Calibri"/>
        <family val="2"/>
        <scheme val="minor"/>
      </rPr>
      <t>3 classes</t>
    </r>
    <r>
      <rPr>
        <sz val="11"/>
        <color theme="1"/>
        <rFont val="Calibri"/>
        <family val="2"/>
        <scheme val="minor"/>
      </rPr>
      <t xml:space="preserve"> of students.</t>
    </r>
  </si>
  <si>
    <r>
      <t xml:space="preserve">You want to check if their </t>
    </r>
    <r>
      <rPr>
        <b/>
        <sz val="11"/>
        <color theme="1"/>
        <rFont val="Calibri"/>
        <family val="2"/>
        <scheme val="minor"/>
      </rPr>
      <t>average marks</t>
    </r>
    <r>
      <rPr>
        <sz val="11"/>
        <color theme="1"/>
        <rFont val="Calibri"/>
        <family val="2"/>
        <scheme val="minor"/>
      </rPr>
      <t xml:space="preserve"> are the same or different.</t>
    </r>
  </si>
  <si>
    <t>Class A average looks 70</t>
  </si>
  <si>
    <t>Class B average looks 75</t>
  </si>
  <si>
    <t>Class C average looks 90</t>
  </si>
  <si>
    <t>Question:</t>
  </si>
  <si>
    <r>
      <t xml:space="preserve">Are these differences </t>
    </r>
    <r>
      <rPr>
        <b/>
        <sz val="11"/>
        <color theme="1"/>
        <rFont val="Calibri"/>
        <family val="2"/>
        <scheme val="minor"/>
      </rPr>
      <t>real</t>
    </r>
    <r>
      <rPr>
        <sz val="11"/>
        <color theme="1"/>
        <rFont val="Calibri"/>
        <family val="2"/>
        <scheme val="minor"/>
      </rPr>
      <t xml:space="preserve"> (Class C is really better), or just due to chance (maybe random variation in marks)?</t>
    </r>
  </si>
  <si>
    <r>
      <t xml:space="preserve">That’s what </t>
    </r>
    <r>
      <rPr>
        <b/>
        <sz val="11"/>
        <color theme="1"/>
        <rFont val="Calibri"/>
        <family val="2"/>
        <scheme val="minor"/>
      </rPr>
      <t>ANOVA</t>
    </r>
    <r>
      <rPr>
        <sz val="11"/>
        <color theme="1"/>
        <rFont val="Calibri"/>
        <family val="2"/>
        <scheme val="minor"/>
      </rPr>
      <t xml:space="preserve"> answers.</t>
    </r>
  </si>
  <si>
    <t>SUMMARY OUTPUT</t>
  </si>
  <si>
    <t>Regression Statistics</t>
  </si>
  <si>
    <t>Multiple R</t>
  </si>
  <si>
    <t>R Square</t>
  </si>
  <si>
    <t>Adjusted R Square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</si>
  <si>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</si>
  <si>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</si>
  <si>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</si>
  <si>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</si>
  <si>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</si>
  <si>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</si>
  <si>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</si>
  <si>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</si>
  <si>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</si>
  <si>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</si>
  <si>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r>
      <t xml:space="preserve">For this dataset, the slope (b) will be </t>
    </r>
    <r>
      <rPr>
        <b/>
        <sz val="11"/>
        <color theme="1"/>
        <rFont val="Calibri"/>
        <family val="2"/>
        <scheme val="minor"/>
      </rPr>
      <t>~0.95 to 1.0</t>
    </r>
    <r>
      <rPr>
        <sz val="11"/>
        <color theme="1"/>
        <rFont val="Calibri"/>
        <family val="2"/>
        <scheme val="minor"/>
      </rPr>
      <t xml:space="preserve"> (very strong correlation).</t>
    </r>
  </si>
  <si>
    <t>Intercept (a) will be small.</t>
  </si>
  <si>
    <r>
      <t>R² value</t>
    </r>
    <r>
      <rPr>
        <sz val="11"/>
        <color theme="1"/>
        <rFont val="Calibri"/>
        <family val="2"/>
        <scheme val="minor"/>
      </rPr>
      <t xml:space="preserve">: Likely </t>
    </r>
    <r>
      <rPr>
        <b/>
        <sz val="11"/>
        <color theme="1"/>
        <rFont val="Calibri"/>
        <family val="2"/>
        <scheme val="minor"/>
      </rPr>
      <t>&gt;0.95</t>
    </r>
    <r>
      <rPr>
        <sz val="11"/>
        <color theme="1"/>
        <rFont val="Calibri"/>
        <family val="2"/>
        <scheme val="minor"/>
      </rPr>
      <t xml:space="preserve"> → Math almost perfectly predicts Science.</t>
    </r>
  </si>
  <si>
    <r>
      <t>p-value</t>
    </r>
    <r>
      <rPr>
        <sz val="11"/>
        <color theme="1"/>
        <rFont val="Calibri"/>
        <family val="2"/>
        <scheme val="minor"/>
      </rPr>
      <t>: &lt; 0.05 → Significant.</t>
    </r>
  </si>
  <si>
    <t>Linear Regression Example</t>
  </si>
  <si>
    <r>
      <t xml:space="preserve">Predict </t>
    </r>
    <r>
      <rPr>
        <b/>
        <sz val="11"/>
        <color theme="1"/>
        <rFont val="Calibri"/>
        <family val="2"/>
        <scheme val="minor"/>
      </rPr>
      <t>Science marks from Math marks</t>
    </r>
    <r>
      <rPr>
        <sz val="11"/>
        <color theme="1"/>
        <rFont val="Calibri"/>
        <family val="2"/>
        <scheme val="minor"/>
      </rPr>
      <t>.</t>
    </r>
  </si>
  <si>
    <t xml:space="preserve"> Interpretation: If Math increases by 1 mark, Science increases by almost 1 mark.</t>
  </si>
  <si>
    <t>Pass/Fail (Y)</t>
  </si>
  <si>
    <t xml:space="preserve">Median </t>
  </si>
  <si>
    <t>Percentile</t>
  </si>
  <si>
    <t>Central Tendency</t>
  </si>
  <si>
    <t>Center of Data</t>
  </si>
  <si>
    <t>How to Enable Analysis ToolPak (If Data Analysis is Not Visible)</t>
  </si>
  <si>
    <r>
      <t xml:space="preserve">1️⃣ Click </t>
    </r>
    <r>
      <rPr>
        <b/>
        <sz val="11"/>
        <color theme="1"/>
        <rFont val="Calibri"/>
        <family val="2"/>
        <scheme val="minor"/>
      </rPr>
      <t>File</t>
    </r>
    <r>
      <rPr>
        <sz val="11"/>
        <color theme="1"/>
        <rFont val="Calibri"/>
        <family val="2"/>
        <scheme val="minor"/>
      </rPr>
      <t xml:space="preserve"> (top-left)</t>
    </r>
  </si>
  <si>
    <r>
      <t xml:space="preserve">2️⃣ Click </t>
    </r>
    <r>
      <rPr>
        <b/>
        <sz val="11"/>
        <color theme="1"/>
        <rFont val="Calibri"/>
        <family val="2"/>
        <scheme val="minor"/>
      </rPr>
      <t>Options</t>
    </r>
  </si>
  <si>
    <r>
      <t xml:space="preserve">3️⃣ Select </t>
    </r>
    <r>
      <rPr>
        <b/>
        <sz val="11"/>
        <color theme="1"/>
        <rFont val="Calibri"/>
        <family val="2"/>
        <scheme val="minor"/>
      </rPr>
      <t>Add-ins</t>
    </r>
  </si>
  <si>
    <r>
      <t xml:space="preserve">4️⃣ At the bottom → </t>
    </r>
    <r>
      <rPr>
        <b/>
        <sz val="11"/>
        <color theme="1"/>
        <rFont val="Calibri"/>
        <family val="2"/>
        <scheme val="minor"/>
      </rPr>
      <t>Manage: Excel Add-ins</t>
    </r>
    <r>
      <rPr>
        <sz val="11"/>
        <color theme="1"/>
        <rFont val="Calibri"/>
        <family val="2"/>
        <scheme val="minor"/>
      </rPr>
      <t xml:space="preserve"> → Click </t>
    </r>
    <r>
      <rPr>
        <b/>
        <sz val="11"/>
        <color theme="1"/>
        <rFont val="Calibri"/>
        <family val="2"/>
        <scheme val="minor"/>
      </rPr>
      <t>Go</t>
    </r>
  </si>
  <si>
    <r>
      <t xml:space="preserve">5️⃣ Tick the box </t>
    </r>
    <r>
      <rPr>
        <b/>
        <sz val="11"/>
        <color theme="1"/>
        <rFont val="Calibri"/>
        <family val="2"/>
        <scheme val="minor"/>
      </rPr>
      <t>“Analysis ToolPak”</t>
    </r>
  </si>
  <si>
    <r>
      <t xml:space="preserve">6️⃣ Click </t>
    </r>
    <r>
      <rPr>
        <b/>
        <sz val="11"/>
        <color theme="1"/>
        <rFont val="Calibri"/>
        <family val="2"/>
        <scheme val="minor"/>
      </rPr>
      <t>OK</t>
    </r>
  </si>
  <si>
    <r>
      <t xml:space="preserve">Now go back to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Data Analysis</t>
    </r>
    <r>
      <rPr>
        <sz val="11"/>
        <color theme="1"/>
        <rFont val="Calibri"/>
        <family val="2"/>
        <scheme val="minor"/>
      </rPr>
      <t xml:space="preserve"> will appear.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</si>
</sst>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rgb="FF474747"/>
      <name val="Arial"/>
      <family val="2"/>
    </font>
    <font>
      <sz val="10"/>
      <color rgb="FF040C28"/>
      <name val="Arial"/>
      <family val="2"/>
    </font>
    <font>
      <sz val="10"/>
      <color rgb="FF0A0A0A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2" xfId="0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13" fillId="0" borderId="0" xfId="0" applyFont="1"/>
    <xf numFmtId="0" fontId="12" fillId="0" borderId="0" xfId="0" applyFont="1"/>
    <xf numFmtId="0" fontId="13" fillId="0" borderId="0" xfId="0" applyFont="1" applyAlignment="1">
      <alignment horizontal="left" vertical="center" inden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16" fillId="0" borderId="0" xfId="0" applyFont="1"/>
    <xf numFmtId="0" fontId="2" fillId="0" borderId="2" xfId="0" applyFont="1" applyBorder="1" applyAlignment="1">
      <alignment horizontal="centerContinuous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Histogram!$A$2:$A$5</c:f>
              <c:strCache>
                <c:ptCount val="4"/>
                <c:pt idx="0">
                  <c:v>72</c:v>
                </c:pt>
                <c:pt idx="1">
                  <c:v>79.66666667</c:v>
                </c:pt>
                <c:pt idx="2">
                  <c:v>87.33333333</c:v>
                </c:pt>
                <c:pt idx="3">
                  <c:v>More</c:v>
                </c:pt>
              </c:strCache>
            </c:strRef>
          </c:cat>
          <c:val>
            <c:numRef>
              <c:f>Histogram!$B$2:$B$5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6A-4E82-9B73-1C00D1CB9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8982656"/>
        <c:axId val="1538979296"/>
      </c:barChart>
      <c:catAx>
        <c:axId val="1538982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8979296"/>
        <c:crosses val="autoZero"/>
        <c:auto val="1"/>
        <c:lblAlgn val="ctr"/>
        <c:lblOffset val="100"/>
        <c:noMultiLvlLbl val="0"/>
      </c:catAx>
      <c:valAx>
        <c:axId val="15389792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8982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Histogram!$K$22:$K$31</c:f>
              <c:numCache>
                <c:formatCode>General</c:formatCode>
                <c:ptCount val="10"/>
                <c:pt idx="0">
                  <c:v>78</c:v>
                </c:pt>
                <c:pt idx="1">
                  <c:v>82</c:v>
                </c:pt>
                <c:pt idx="2">
                  <c:v>85</c:v>
                </c:pt>
                <c:pt idx="3">
                  <c:v>70</c:v>
                </c:pt>
                <c:pt idx="4">
                  <c:v>92</c:v>
                </c:pt>
                <c:pt idx="5">
                  <c:v>85</c:v>
                </c:pt>
                <c:pt idx="6">
                  <c:v>68</c:v>
                </c:pt>
                <c:pt idx="7">
                  <c:v>80</c:v>
                </c:pt>
                <c:pt idx="8">
                  <c:v>88</c:v>
                </c:pt>
                <c:pt idx="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9-46FD-A832-CC3D13535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340927"/>
        <c:axId val="500340447"/>
      </c:barChart>
      <c:catAx>
        <c:axId val="500340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40447"/>
        <c:crosses val="autoZero"/>
        <c:auto val="1"/>
        <c:lblAlgn val="ctr"/>
        <c:lblOffset val="100"/>
        <c:noMultiLvlLbl val="0"/>
      </c:catAx>
      <c:valAx>
        <c:axId val="50034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4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Sheet9!$A$2:$A$6</c:f>
              <c:strCache>
                <c:ptCount val="5"/>
                <c:pt idx="0">
                  <c:v>70</c:v>
                </c:pt>
                <c:pt idx="1">
                  <c:v>80</c:v>
                </c:pt>
                <c:pt idx="2">
                  <c:v>90</c:v>
                </c:pt>
                <c:pt idx="3">
                  <c:v>100</c:v>
                </c:pt>
                <c:pt idx="4">
                  <c:v>More</c:v>
                </c:pt>
              </c:strCache>
            </c:strRef>
          </c:cat>
          <c:val>
            <c:numRef>
              <c:f>Sheet9!$B$2:$B$6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1A-484E-A25B-3FEA49BED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8520832"/>
        <c:axId val="1698521312"/>
      </c:barChart>
      <c:catAx>
        <c:axId val="169852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60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8521312"/>
        <c:crosses val="autoZero"/>
        <c:auto val="1"/>
        <c:lblAlgn val="ctr"/>
        <c:lblOffset val="100"/>
        <c:noMultiLvlLbl val="0"/>
      </c:catAx>
      <c:valAx>
        <c:axId val="1698521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8520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'30.8.24'!$B$3:$B$11</c:f>
              <c:numCache>
                <c:formatCode>General</c:formatCode>
                <c:ptCount val="9"/>
                <c:pt idx="0">
                  <c:v>135</c:v>
                </c:pt>
                <c:pt idx="1">
                  <c:v>128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155</c:v>
                </c:pt>
                <c:pt idx="6">
                  <c:v>165</c:v>
                </c:pt>
                <c:pt idx="7">
                  <c:v>170</c:v>
                </c:pt>
                <c:pt idx="8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19-4DFA-BCC1-56CD6531C41C}"/>
            </c:ext>
          </c:extLst>
        </c:ser>
        <c:ser>
          <c:idx val="1"/>
          <c:order val="1"/>
          <c:tx>
            <c:v>Forecast</c:v>
          </c:tx>
          <c:val>
            <c:numRef>
              <c:f>'30.8.24'!$D$1:$D$9</c:f>
              <c:numCache>
                <c:formatCode>General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134.33333333333334</c:v>
                </c:pt>
                <c:pt idx="3">
                  <c:v>139.33333333333334</c:v>
                </c:pt>
                <c:pt idx="4">
                  <c:v>150</c:v>
                </c:pt>
                <c:pt idx="5">
                  <c:v>155</c:v>
                </c:pt>
                <c:pt idx="6">
                  <c:v>160</c:v>
                </c:pt>
                <c:pt idx="7">
                  <c:v>163.33333333333334</c:v>
                </c:pt>
                <c:pt idx="8">
                  <c:v>171.66666666666666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19-4DFA-BCC1-56CD6531C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3650832"/>
        <c:axId val="2003648912"/>
      </c:lineChart>
      <c:catAx>
        <c:axId val="200365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2003648912"/>
        <c:crosses val="autoZero"/>
        <c:auto val="1"/>
        <c:lblAlgn val="ctr"/>
        <c:lblOffset val="100"/>
        <c:noMultiLvlLbl val="0"/>
      </c:catAx>
      <c:valAx>
        <c:axId val="2003648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36508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'30.8.24'!$B$2:$B$11</c:f>
              <c:numCache>
                <c:formatCode>General</c:formatCode>
                <c:ptCount val="10"/>
                <c:pt idx="0">
                  <c:v>120</c:v>
                </c:pt>
                <c:pt idx="1">
                  <c:v>135</c:v>
                </c:pt>
                <c:pt idx="2">
                  <c:v>128</c:v>
                </c:pt>
                <c:pt idx="3">
                  <c:v>140</c:v>
                </c:pt>
                <c:pt idx="4">
                  <c:v>150</c:v>
                </c:pt>
                <c:pt idx="5">
                  <c:v>160</c:v>
                </c:pt>
                <c:pt idx="6">
                  <c:v>155</c:v>
                </c:pt>
                <c:pt idx="7">
                  <c:v>165</c:v>
                </c:pt>
                <c:pt idx="8">
                  <c:v>170</c:v>
                </c:pt>
                <c:pt idx="9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88-486E-B016-AF71B30C541A}"/>
            </c:ext>
          </c:extLst>
        </c:ser>
        <c:ser>
          <c:idx val="1"/>
          <c:order val="1"/>
          <c:tx>
            <c:v>Forecast</c:v>
          </c:tx>
          <c:val>
            <c:numRef>
              <c:f>'30.8.24'!$C$51:$C$60</c:f>
              <c:numCache>
                <c:formatCode>General</c:formatCode>
                <c:ptCount val="10"/>
                <c:pt idx="0">
                  <c:v>#N/A</c:v>
                </c:pt>
                <c:pt idx="1">
                  <c:v>120</c:v>
                </c:pt>
                <c:pt idx="2">
                  <c:v>130.5</c:v>
                </c:pt>
                <c:pt idx="3">
                  <c:v>128.75</c:v>
                </c:pt>
                <c:pt idx="4">
                  <c:v>136.625</c:v>
                </c:pt>
                <c:pt idx="5">
                  <c:v>145.98750000000001</c:v>
                </c:pt>
                <c:pt idx="6">
                  <c:v>155.79624999999999</c:v>
                </c:pt>
                <c:pt idx="7">
                  <c:v>155.23887500000001</c:v>
                </c:pt>
                <c:pt idx="8">
                  <c:v>162.0716625</c:v>
                </c:pt>
                <c:pt idx="9">
                  <c:v>167.62149875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88-486E-B016-AF71B30C5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669696"/>
        <c:axId val="2044671616"/>
      </c:lineChart>
      <c:catAx>
        <c:axId val="2044669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2044671616"/>
        <c:crosses val="autoZero"/>
        <c:auto val="1"/>
        <c:lblAlgn val="ctr"/>
        <c:lblOffset val="100"/>
        <c:noMultiLvlLbl val="0"/>
      </c:catAx>
      <c:valAx>
        <c:axId val="2044671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46696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86B33-E688-945E-6B59-77D7AE471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129540</xdr:colOff>
      <xdr:row>13</xdr:row>
      <xdr:rowOff>133350</xdr:rowOff>
    </xdr:from>
    <xdr:to>
      <xdr:col>20</xdr:col>
      <xdr:colOff>434340</xdr:colOff>
      <xdr:row>28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766CF0-8E8A-A843-6F9F-AE914A211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035567-ADA0-E7C0-BBB3-3E8578F7A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0</xdr:row>
      <xdr:rowOff>175260</xdr:rowOff>
    </xdr:from>
    <xdr:to>
      <xdr:col>11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79906-8582-EFF7-DFBB-D822D1CF0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198120</xdr:colOff>
      <xdr:row>49</xdr:row>
      <xdr:rowOff>144780</xdr:rowOff>
    </xdr:from>
    <xdr:to>
      <xdr:col>13</xdr:col>
      <xdr:colOff>297180</xdr:colOff>
      <xdr:row>65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C0FDFB-AA3B-8CD0-8AFE-39744F415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23D8-9553-441A-801D-15522EA648A4}">
  <dimension ref="A1:F15"/>
  <sheetViews>
    <sheetView workbookViewId="0">
      <selection activeCell="E6" sqref="E6"/>
    </sheetView>
  </sheetViews>
  <sheetFormatPr defaultRowHeight="14.4"/>
  <sheetData>
    <row r="1" spans="1:6">
      <c r="A1" s="4" t="s">
        <v>1</v>
      </c>
      <c r="B1" s="4"/>
      <c r="C1" s="4" t="s">
        <v>2</v>
      </c>
      <c r="D1" s="4"/>
      <c r="E1" s="4" t="s">
        <v>3</v>
      </c>
      <c r="F1" s="4"/>
    </row>
    <row r="3" spans="1:6">
      <c r="A3" t="s">
        <v>14</v>
      </c>
      <c r="B3">
        <v>84.8</v>
      </c>
      <c r="C3" t="s">
        <v>14</v>
      </c>
      <c r="D3">
        <v>80.2</v>
      </c>
      <c r="E3" t="s">
        <v>14</v>
      </c>
      <c r="F3">
        <v>85.3</v>
      </c>
    </row>
    <row r="4" spans="1:6">
      <c r="A4" t="s">
        <v>15</v>
      </c>
      <c r="B4">
        <v>2.3228335186912457</v>
      </c>
      <c r="C4" t="s">
        <v>15</v>
      </c>
      <c r="D4">
        <v>2.462158041682585</v>
      </c>
      <c r="E4" t="s">
        <v>15</v>
      </c>
      <c r="F4">
        <v>1.764149149653232</v>
      </c>
    </row>
    <row r="5" spans="1:6">
      <c r="A5" t="s">
        <v>16</v>
      </c>
      <c r="B5">
        <v>86.5</v>
      </c>
      <c r="C5" t="s">
        <v>16</v>
      </c>
      <c r="D5">
        <v>81</v>
      </c>
      <c r="E5" t="s">
        <v>16</v>
      </c>
      <c r="F5">
        <v>86.5</v>
      </c>
    </row>
    <row r="6" spans="1:6">
      <c r="A6" t="s">
        <v>17</v>
      </c>
      <c r="B6" t="e">
        <v>#N/A</v>
      </c>
      <c r="C6" t="s">
        <v>17</v>
      </c>
      <c r="D6">
        <v>85</v>
      </c>
      <c r="E6" t="s">
        <v>17</v>
      </c>
      <c r="F6" t="e">
        <v>#N/A</v>
      </c>
    </row>
    <row r="7" spans="1:6">
      <c r="A7" t="s">
        <v>18</v>
      </c>
      <c r="B7">
        <v>7.3454445444476368</v>
      </c>
      <c r="C7" t="s">
        <v>18</v>
      </c>
      <c r="D7">
        <v>7.7860273710167647</v>
      </c>
      <c r="E7" t="s">
        <v>18</v>
      </c>
      <c r="F7">
        <v>5.578729445153459</v>
      </c>
    </row>
    <row r="8" spans="1:6">
      <c r="A8" t="s">
        <v>19</v>
      </c>
      <c r="B8">
        <v>53.955555555555549</v>
      </c>
      <c r="C8" t="s">
        <v>19</v>
      </c>
      <c r="D8">
        <v>60.622222222222227</v>
      </c>
      <c r="E8" t="s">
        <v>19</v>
      </c>
      <c r="F8">
        <v>31.122222222222224</v>
      </c>
    </row>
    <row r="9" spans="1:6">
      <c r="A9" t="s">
        <v>20</v>
      </c>
      <c r="B9">
        <v>-0.70860492710175516</v>
      </c>
      <c r="C9" t="s">
        <v>20</v>
      </c>
      <c r="D9">
        <v>-0.85676404110977566</v>
      </c>
      <c r="E9" t="s">
        <v>20</v>
      </c>
      <c r="F9">
        <v>-8.5014519601495309E-2</v>
      </c>
    </row>
    <row r="10" spans="1:6">
      <c r="A10" t="s">
        <v>21</v>
      </c>
      <c r="B10">
        <v>-0.54197596097057887</v>
      </c>
      <c r="C10" t="s">
        <v>21</v>
      </c>
      <c r="D10">
        <v>-0.22994044271017966</v>
      </c>
      <c r="E10" t="s">
        <v>21</v>
      </c>
      <c r="F10">
        <v>-0.39626210218887059</v>
      </c>
    </row>
    <row r="11" spans="1:6">
      <c r="A11" t="s">
        <v>22</v>
      </c>
      <c r="B11">
        <v>23</v>
      </c>
      <c r="C11" t="s">
        <v>22</v>
      </c>
      <c r="D11">
        <v>24</v>
      </c>
      <c r="E11" t="s">
        <v>22</v>
      </c>
      <c r="F11">
        <v>19</v>
      </c>
    </row>
    <row r="12" spans="1:6">
      <c r="A12" t="s">
        <v>23</v>
      </c>
      <c r="B12">
        <v>72</v>
      </c>
      <c r="C12" t="s">
        <v>23</v>
      </c>
      <c r="D12">
        <v>68</v>
      </c>
      <c r="E12" t="s">
        <v>23</v>
      </c>
      <c r="F12">
        <v>75</v>
      </c>
    </row>
    <row r="13" spans="1:6">
      <c r="A13" t="s">
        <v>24</v>
      </c>
      <c r="B13">
        <v>95</v>
      </c>
      <c r="C13" t="s">
        <v>24</v>
      </c>
      <c r="D13">
        <v>92</v>
      </c>
      <c r="E13" t="s">
        <v>24</v>
      </c>
      <c r="F13">
        <v>94</v>
      </c>
    </row>
    <row r="14" spans="1:6">
      <c r="A14" t="s">
        <v>25</v>
      </c>
      <c r="B14">
        <v>848</v>
      </c>
      <c r="C14" t="s">
        <v>25</v>
      </c>
      <c r="D14">
        <v>802</v>
      </c>
      <c r="E14" t="s">
        <v>25</v>
      </c>
      <c r="F14">
        <v>853</v>
      </c>
    </row>
    <row r="15" spans="1:6" ht="15" thickBot="1">
      <c r="A15" s="3" t="s">
        <v>26</v>
      </c>
      <c r="B15" s="3">
        <v>10</v>
      </c>
      <c r="C15" s="3" t="s">
        <v>26</v>
      </c>
      <c r="D15" s="3">
        <v>10</v>
      </c>
      <c r="E15" s="3" t="s">
        <v>26</v>
      </c>
      <c r="F15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26FA-05A5-4E36-AF3D-758E8DC46D26}">
  <dimension ref="A1:F11"/>
  <sheetViews>
    <sheetView workbookViewId="0">
      <selection activeCell="B1" sqref="B1"/>
    </sheetView>
  </sheetViews>
  <sheetFormatPr defaultRowHeight="14.4"/>
  <cols>
    <col min="1" max="1" width="14.33203125" customWidth="1"/>
    <col min="2" max="2" width="14.109375" customWidth="1"/>
    <col min="3" max="3" width="14.33203125" customWidth="1"/>
    <col min="4" max="4" width="26.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F1">
        <v>60</v>
      </c>
    </row>
    <row r="2" spans="1:6">
      <c r="A2" s="2" t="s">
        <v>4</v>
      </c>
      <c r="B2" s="2">
        <v>85</v>
      </c>
      <c r="C2" s="2">
        <v>78</v>
      </c>
      <c r="D2" s="2">
        <v>90</v>
      </c>
      <c r="F2">
        <v>70</v>
      </c>
    </row>
    <row r="3" spans="1:6">
      <c r="A3" s="2" t="s">
        <v>5</v>
      </c>
      <c r="B3" s="2">
        <v>88</v>
      </c>
      <c r="C3" s="2">
        <v>82</v>
      </c>
      <c r="D3" s="2">
        <v>86</v>
      </c>
      <c r="F3">
        <v>80</v>
      </c>
    </row>
    <row r="4" spans="1:6">
      <c r="A4" s="2" t="s">
        <v>6</v>
      </c>
      <c r="B4" s="2">
        <v>91</v>
      </c>
      <c r="C4" s="2">
        <v>85</v>
      </c>
      <c r="D4" s="2">
        <v>88</v>
      </c>
      <c r="F4">
        <v>90</v>
      </c>
    </row>
    <row r="5" spans="1:6">
      <c r="A5" s="2" t="s">
        <v>7</v>
      </c>
      <c r="B5" s="2">
        <v>76</v>
      </c>
      <c r="C5" s="2">
        <v>70</v>
      </c>
      <c r="D5" s="2">
        <v>80</v>
      </c>
      <c r="F5">
        <v>100</v>
      </c>
    </row>
    <row r="6" spans="1:6">
      <c r="A6" s="2" t="s">
        <v>8</v>
      </c>
      <c r="B6" s="2">
        <v>95</v>
      </c>
      <c r="C6" s="2">
        <v>92</v>
      </c>
      <c r="D6" s="2">
        <v>94</v>
      </c>
    </row>
    <row r="7" spans="1:6">
      <c r="A7" s="2" t="s">
        <v>9</v>
      </c>
      <c r="B7" s="2">
        <v>89</v>
      </c>
      <c r="C7" s="2">
        <v>85</v>
      </c>
      <c r="D7" s="2">
        <v>87</v>
      </c>
    </row>
    <row r="8" spans="1:6">
      <c r="A8" s="2" t="s">
        <v>10</v>
      </c>
      <c r="B8" s="2">
        <v>72</v>
      </c>
      <c r="C8" s="2">
        <v>68</v>
      </c>
      <c r="D8" s="2">
        <v>75</v>
      </c>
    </row>
    <row r="9" spans="1:6">
      <c r="A9" s="2" t="s">
        <v>11</v>
      </c>
      <c r="B9" s="2">
        <v>84</v>
      </c>
      <c r="C9" s="2">
        <v>80</v>
      </c>
      <c r="D9" s="2">
        <v>83</v>
      </c>
    </row>
    <row r="10" spans="1:6">
      <c r="A10" s="2" t="s">
        <v>12</v>
      </c>
      <c r="B10" s="2">
        <v>90</v>
      </c>
      <c r="C10" s="2">
        <v>88</v>
      </c>
      <c r="D10" s="2">
        <v>89</v>
      </c>
    </row>
    <row r="11" spans="1:6">
      <c r="A11" s="2" t="s">
        <v>13</v>
      </c>
      <c r="B11" s="2">
        <v>78</v>
      </c>
      <c r="C11" s="2">
        <v>74</v>
      </c>
      <c r="D11" s="2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1E48-3258-4B40-8C87-FF7558466460}">
  <dimension ref="A1:J17"/>
  <sheetViews>
    <sheetView workbookViewId="0">
      <selection activeCell="F17" sqref="F17"/>
    </sheetView>
  </sheetViews>
  <sheetFormatPr defaultRowHeight="14.4"/>
  <sheetData>
    <row r="1" spans="1:10" ht="31.2">
      <c r="E1" s="5" t="s">
        <v>31</v>
      </c>
    </row>
    <row r="2" spans="1:10" ht="21.6" thickBot="1">
      <c r="J2" s="7" t="s">
        <v>32</v>
      </c>
    </row>
    <row r="3" spans="1:10" ht="21">
      <c r="A3" s="9" t="s">
        <v>1</v>
      </c>
      <c r="B3" s="9"/>
      <c r="C3" s="9" t="s">
        <v>30</v>
      </c>
      <c r="D3" s="9"/>
      <c r="E3" s="9" t="s">
        <v>3</v>
      </c>
      <c r="F3" s="9"/>
      <c r="J3" s="8"/>
    </row>
    <row r="4" spans="1:10" ht="21">
      <c r="A4" s="6"/>
      <c r="C4" s="6"/>
      <c r="E4" s="6"/>
      <c r="J4" s="8" t="s">
        <v>33</v>
      </c>
    </row>
    <row r="5" spans="1:10" ht="21">
      <c r="A5" s="6" t="s">
        <v>14</v>
      </c>
      <c r="B5">
        <v>84.8</v>
      </c>
      <c r="C5" s="6" t="s">
        <v>14</v>
      </c>
      <c r="D5">
        <v>80.2</v>
      </c>
      <c r="E5" s="6" t="s">
        <v>14</v>
      </c>
      <c r="F5">
        <v>85.3</v>
      </c>
      <c r="J5" s="8"/>
    </row>
    <row r="6" spans="1:10" ht="21">
      <c r="A6" s="6" t="s">
        <v>15</v>
      </c>
      <c r="B6">
        <v>2.3228335186912457</v>
      </c>
      <c r="C6" s="6" t="s">
        <v>15</v>
      </c>
      <c r="D6">
        <v>2.462158041682585</v>
      </c>
      <c r="E6" s="6" t="s">
        <v>15</v>
      </c>
      <c r="F6">
        <v>1.764149149653232</v>
      </c>
      <c r="J6" s="8" t="s">
        <v>27</v>
      </c>
    </row>
    <row r="7" spans="1:10" ht="21">
      <c r="A7" s="6" t="s">
        <v>16</v>
      </c>
      <c r="B7">
        <v>86.5</v>
      </c>
      <c r="C7" s="6" t="s">
        <v>16</v>
      </c>
      <c r="D7">
        <v>81</v>
      </c>
      <c r="E7" s="6" t="s">
        <v>16</v>
      </c>
      <c r="F7">
        <v>86.5</v>
      </c>
      <c r="J7" s="8"/>
    </row>
    <row r="8" spans="1:10" ht="21">
      <c r="A8" s="6" t="s">
        <v>17</v>
      </c>
      <c r="B8" t="e">
        <v>#N/A</v>
      </c>
      <c r="C8" s="6" t="s">
        <v>17</v>
      </c>
      <c r="D8">
        <v>85</v>
      </c>
      <c r="E8" s="6" t="s">
        <v>17</v>
      </c>
      <c r="F8" t="e">
        <v>#N/A</v>
      </c>
      <c r="J8" s="8" t="s">
        <v>34</v>
      </c>
    </row>
    <row r="9" spans="1:10" ht="21">
      <c r="A9" s="6" t="s">
        <v>18</v>
      </c>
      <c r="B9">
        <v>7.3454445444476404</v>
      </c>
      <c r="C9" s="6" t="s">
        <v>18</v>
      </c>
      <c r="D9">
        <v>7.7860273710167647</v>
      </c>
      <c r="E9" s="6" t="s">
        <v>18</v>
      </c>
      <c r="F9">
        <v>5.578729445153459</v>
      </c>
      <c r="J9" s="8"/>
    </row>
    <row r="10" spans="1:10" ht="21">
      <c r="A10" s="6" t="s">
        <v>19</v>
      </c>
      <c r="B10">
        <v>53.955555555555549</v>
      </c>
      <c r="C10" s="6" t="s">
        <v>19</v>
      </c>
      <c r="D10">
        <v>60.622222222222227</v>
      </c>
      <c r="E10" s="6" t="s">
        <v>19</v>
      </c>
      <c r="F10">
        <v>31.122222222222224</v>
      </c>
      <c r="J10" s="8" t="s">
        <v>35</v>
      </c>
    </row>
    <row r="11" spans="1:10" ht="21">
      <c r="A11" s="6" t="s">
        <v>20</v>
      </c>
      <c r="B11">
        <v>-0.70860492710175516</v>
      </c>
      <c r="C11" s="6" t="s">
        <v>20</v>
      </c>
      <c r="D11">
        <v>-0.85676404110977566</v>
      </c>
      <c r="E11" s="6" t="s">
        <v>20</v>
      </c>
      <c r="F11">
        <v>-8.5014519601495309E-2</v>
      </c>
      <c r="J11" s="8"/>
    </row>
    <row r="12" spans="1:10" ht="21">
      <c r="A12" s="6" t="s">
        <v>21</v>
      </c>
      <c r="B12">
        <v>-0.54197596097057887</v>
      </c>
      <c r="C12" s="6" t="s">
        <v>21</v>
      </c>
      <c r="D12">
        <v>-0.22994044271017966</v>
      </c>
      <c r="E12" s="6" t="s">
        <v>21</v>
      </c>
      <c r="F12">
        <v>-0.39626210218887059</v>
      </c>
      <c r="J12" s="8" t="s">
        <v>28</v>
      </c>
    </row>
    <row r="13" spans="1:10" ht="21">
      <c r="A13" s="6" t="s">
        <v>22</v>
      </c>
      <c r="B13">
        <v>23</v>
      </c>
      <c r="C13" s="6" t="s">
        <v>22</v>
      </c>
      <c r="D13">
        <v>24</v>
      </c>
      <c r="E13" s="6" t="s">
        <v>22</v>
      </c>
      <c r="F13">
        <v>19</v>
      </c>
      <c r="J13" s="8"/>
    </row>
    <row r="14" spans="1:10" ht="21">
      <c r="A14" s="6" t="s">
        <v>23</v>
      </c>
      <c r="B14">
        <v>72</v>
      </c>
      <c r="C14" s="6" t="s">
        <v>23</v>
      </c>
      <c r="D14">
        <v>68</v>
      </c>
      <c r="E14" s="6" t="s">
        <v>23</v>
      </c>
      <c r="F14">
        <v>75</v>
      </c>
      <c r="J14" s="8" t="s">
        <v>29</v>
      </c>
    </row>
    <row r="15" spans="1:10">
      <c r="A15" s="6" t="s">
        <v>24</v>
      </c>
      <c r="B15">
        <v>95</v>
      </c>
      <c r="C15" s="6" t="s">
        <v>24</v>
      </c>
      <c r="D15">
        <v>92</v>
      </c>
      <c r="E15" s="6" t="s">
        <v>24</v>
      </c>
      <c r="F15">
        <v>94</v>
      </c>
    </row>
    <row r="16" spans="1:10">
      <c r="A16" s="6" t="s">
        <v>25</v>
      </c>
      <c r="B16">
        <v>848</v>
      </c>
      <c r="C16" s="6" t="s">
        <v>25</v>
      </c>
      <c r="D16">
        <v>802</v>
      </c>
      <c r="E16" s="6" t="s">
        <v>25</v>
      </c>
      <c r="F16">
        <v>853</v>
      </c>
    </row>
    <row r="17" spans="1:6" ht="15" thickBot="1">
      <c r="A17" s="10" t="s">
        <v>26</v>
      </c>
      <c r="B17" s="3">
        <v>10</v>
      </c>
      <c r="C17" s="10" t="s">
        <v>26</v>
      </c>
      <c r="D17" s="3">
        <v>10</v>
      </c>
      <c r="E17" s="10" t="s">
        <v>26</v>
      </c>
      <c r="F17" s="3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B01C3-0F72-43CC-9A03-D5881384EF78}">
  <dimension ref="A1:A13"/>
  <sheetViews>
    <sheetView workbookViewId="0">
      <selection activeCell="I11" sqref="I11"/>
    </sheetView>
  </sheetViews>
  <sheetFormatPr defaultRowHeight="14.4"/>
  <sheetData>
    <row r="1" spans="1:1" ht="25.8">
      <c r="A1" s="17" t="s">
        <v>71</v>
      </c>
    </row>
    <row r="2" spans="1:1" ht="25.8">
      <c r="A2" s="18"/>
    </row>
    <row r="3" spans="1:1" ht="25.8">
      <c r="A3" s="18" t="s">
        <v>72</v>
      </c>
    </row>
    <row r="4" spans="1:1" ht="25.8">
      <c r="A4" s="18"/>
    </row>
    <row r="5" spans="1:1" ht="25.8">
      <c r="A5" s="18" t="s">
        <v>73</v>
      </c>
    </row>
    <row r="6" spans="1:1" ht="25.8">
      <c r="A6" s="18"/>
    </row>
    <row r="7" spans="1:1" ht="25.8">
      <c r="A7" s="18" t="s">
        <v>74</v>
      </c>
    </row>
    <row r="8" spans="1:1" ht="25.8">
      <c r="A8" s="18"/>
    </row>
    <row r="9" spans="1:1" ht="25.8">
      <c r="A9" s="18" t="s">
        <v>75</v>
      </c>
    </row>
    <row r="10" spans="1:1" ht="25.8">
      <c r="A10" s="18"/>
    </row>
    <row r="11" spans="1:1" ht="25.8">
      <c r="A11" s="18" t="s">
        <v>76</v>
      </c>
    </row>
    <row r="12" spans="1:1" ht="25.8">
      <c r="A12" s="18"/>
    </row>
    <row r="13" spans="1:1" ht="25.8">
      <c r="A13" s="18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6BD4-5370-4CD5-B442-BCE2C993E925}">
  <dimension ref="A1:K27"/>
  <sheetViews>
    <sheetView zoomScale="104" zoomScaleNormal="104" workbookViewId="0">
      <selection activeCell="C7" sqref="C7"/>
    </sheetView>
  </sheetViews>
  <sheetFormatPr defaultRowHeight="14.4"/>
  <sheetData>
    <row r="1" spans="1:11" ht="31.2">
      <c r="A1" s="4"/>
      <c r="B1" s="4" t="s">
        <v>1</v>
      </c>
      <c r="C1" s="4" t="s">
        <v>2</v>
      </c>
      <c r="D1" s="4" t="s">
        <v>3</v>
      </c>
      <c r="H1" s="5" t="s">
        <v>40</v>
      </c>
    </row>
    <row r="2" spans="1:11" ht="23.4">
      <c r="A2" t="s">
        <v>1</v>
      </c>
      <c r="B2">
        <v>1</v>
      </c>
      <c r="H2" s="12" t="s">
        <v>41</v>
      </c>
    </row>
    <row r="3" spans="1:11" ht="23.4">
      <c r="A3" t="s">
        <v>2</v>
      </c>
      <c r="B3">
        <v>0.97993790747275911</v>
      </c>
      <c r="C3">
        <v>1</v>
      </c>
      <c r="H3" s="13"/>
    </row>
    <row r="4" spans="1:11" ht="24" thickBot="1">
      <c r="A4" s="3" t="s">
        <v>3</v>
      </c>
      <c r="B4" s="3">
        <v>0.93437106207667475</v>
      </c>
      <c r="C4" s="3">
        <v>0.89633501489743994</v>
      </c>
      <c r="D4" s="3">
        <v>1</v>
      </c>
      <c r="H4" s="13" t="s">
        <v>42</v>
      </c>
    </row>
    <row r="5" spans="1:11" ht="23.4">
      <c r="H5" s="13"/>
    </row>
    <row r="6" spans="1:11" ht="23.4">
      <c r="H6" s="13" t="s">
        <v>37</v>
      </c>
    </row>
    <row r="7" spans="1:11" ht="23.4">
      <c r="H7" s="13"/>
    </row>
    <row r="8" spans="1:11" ht="23.4">
      <c r="H8" s="13" t="s">
        <v>38</v>
      </c>
    </row>
    <row r="9" spans="1:11" ht="23.4">
      <c r="H9" s="13"/>
    </row>
    <row r="10" spans="1:11" ht="23.4">
      <c r="H10" s="13" t="s">
        <v>39</v>
      </c>
    </row>
    <row r="13" spans="1:11">
      <c r="A13" t="s">
        <v>43</v>
      </c>
    </row>
    <row r="14" spans="1:11">
      <c r="K14" t="s">
        <v>80</v>
      </c>
    </row>
    <row r="15" spans="1:11">
      <c r="A15" t="s">
        <v>44</v>
      </c>
    </row>
    <row r="17" spans="1:7">
      <c r="A17" t="s">
        <v>45</v>
      </c>
    </row>
    <row r="18" spans="1:7" ht="18">
      <c r="G18" s="24" t="s">
        <v>207</v>
      </c>
    </row>
    <row r="19" spans="1:7">
      <c r="A19" t="s">
        <v>46</v>
      </c>
    </row>
    <row r="20" spans="1:7">
      <c r="G20" t="s">
        <v>208</v>
      </c>
    </row>
    <row r="21" spans="1:7">
      <c r="A21" t="s">
        <v>29</v>
      </c>
      <c r="G21" t="s">
        <v>209</v>
      </c>
    </row>
    <row r="22" spans="1:7">
      <c r="G22" t="s">
        <v>210</v>
      </c>
    </row>
    <row r="23" spans="1:7">
      <c r="G23" t="s">
        <v>211</v>
      </c>
    </row>
    <row r="24" spans="1:7">
      <c r="G24" t="s">
        <v>212</v>
      </c>
    </row>
    <row r="25" spans="1:7">
      <c r="G25" t="s">
        <v>213</v>
      </c>
    </row>
    <row r="27" spans="1:7">
      <c r="G27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25BB-B21D-4E3E-94B2-1EABA7EEFD14}">
  <dimension ref="A1:L17"/>
  <sheetViews>
    <sheetView topLeftCell="A10" workbookViewId="0">
      <selection activeCell="G4" sqref="G4"/>
    </sheetView>
  </sheetViews>
  <sheetFormatPr defaultRowHeight="14.4"/>
  <sheetData>
    <row r="1" spans="1:12">
      <c r="A1" s="4"/>
      <c r="B1" s="4" t="s">
        <v>1</v>
      </c>
      <c r="C1" s="4" t="s">
        <v>2</v>
      </c>
      <c r="D1" s="4" t="s">
        <v>3</v>
      </c>
    </row>
    <row r="2" spans="1:12">
      <c r="A2" t="s">
        <v>1</v>
      </c>
      <c r="B2">
        <f>VARP('29.8.24'!$B$2:$B$11)</f>
        <v>48.559999999999995</v>
      </c>
    </row>
    <row r="3" spans="1:12">
      <c r="A3" t="s">
        <v>2</v>
      </c>
      <c r="B3">
        <v>50.440000000000005</v>
      </c>
      <c r="C3">
        <f>VARP('29.8.24'!$C$2:$C$11)</f>
        <v>54.56</v>
      </c>
      <c r="L3" t="s">
        <v>51</v>
      </c>
    </row>
    <row r="4" spans="1:12" ht="15" thickBot="1">
      <c r="A4" s="3" t="s">
        <v>3</v>
      </c>
      <c r="B4" s="3">
        <v>34.459999999999994</v>
      </c>
      <c r="C4" s="3">
        <v>35.039999999999992</v>
      </c>
      <c r="D4" s="3">
        <f>VARP('29.8.24'!$D$2:$D$11)</f>
        <v>28.01</v>
      </c>
    </row>
    <row r="5" spans="1:12">
      <c r="L5" t="s">
        <v>52</v>
      </c>
    </row>
    <row r="7" spans="1:12" ht="28.8">
      <c r="A7" s="19" t="s">
        <v>47</v>
      </c>
      <c r="L7" t="s">
        <v>53</v>
      </c>
    </row>
    <row r="8" spans="1:12" ht="28.8">
      <c r="A8" s="20"/>
    </row>
    <row r="9" spans="1:12" ht="28.8">
      <c r="A9" s="21" t="s">
        <v>78</v>
      </c>
      <c r="L9" t="s">
        <v>54</v>
      </c>
    </row>
    <row r="10" spans="1:12" ht="28.8">
      <c r="A10" s="22"/>
    </row>
    <row r="11" spans="1:12" ht="28.8">
      <c r="A11" s="22" t="s">
        <v>79</v>
      </c>
      <c r="L11" t="s">
        <v>55</v>
      </c>
    </row>
    <row r="12" spans="1:12" ht="28.8">
      <c r="A12" s="22"/>
    </row>
    <row r="13" spans="1:12" ht="28.8">
      <c r="A13" s="22" t="s">
        <v>48</v>
      </c>
    </row>
    <row r="14" spans="1:12" ht="28.8">
      <c r="A14" s="22"/>
    </row>
    <row r="15" spans="1:12" ht="28.8">
      <c r="A15" s="22" t="s">
        <v>49</v>
      </c>
    </row>
    <row r="16" spans="1:12" ht="28.8">
      <c r="A16" s="22"/>
    </row>
    <row r="17" spans="1:1" ht="28.8">
      <c r="A17" s="22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7407-787E-4D1C-82B5-521C36B5B513}">
  <dimension ref="A1:L34"/>
  <sheetViews>
    <sheetView topLeftCell="A10" workbookViewId="0">
      <selection activeCell="J25" sqref="J25"/>
    </sheetView>
  </sheetViews>
  <sheetFormatPr defaultRowHeight="14.4"/>
  <sheetData>
    <row r="1" spans="1:12">
      <c r="A1" t="s">
        <v>56</v>
      </c>
      <c r="B1" t="s">
        <v>58</v>
      </c>
    </row>
    <row r="2" spans="1:12" ht="23.4">
      <c r="A2">
        <v>72</v>
      </c>
      <c r="B2">
        <v>1</v>
      </c>
      <c r="L2" s="15" t="s">
        <v>60</v>
      </c>
    </row>
    <row r="3" spans="1:12">
      <c r="A3">
        <v>79.666666666666671</v>
      </c>
      <c r="B3">
        <v>2</v>
      </c>
    </row>
    <row r="4" spans="1:12">
      <c r="A4">
        <v>87.333333333333329</v>
      </c>
      <c r="B4">
        <v>1</v>
      </c>
      <c r="L4" s="6" t="s">
        <v>36</v>
      </c>
    </row>
    <row r="5" spans="1:12">
      <c r="A5" t="s">
        <v>57</v>
      </c>
      <c r="B5">
        <v>5</v>
      </c>
      <c r="L5" s="11"/>
    </row>
    <row r="6" spans="1:12">
      <c r="L6" s="11" t="s">
        <v>61</v>
      </c>
    </row>
    <row r="7" spans="1:12">
      <c r="L7" s="11"/>
    </row>
    <row r="8" spans="1:12">
      <c r="L8" s="11" t="s">
        <v>62</v>
      </c>
    </row>
    <row r="14" spans="1:12">
      <c r="A14" s="6" t="s">
        <v>63</v>
      </c>
    </row>
    <row r="15" spans="1:12">
      <c r="A15" s="11"/>
    </row>
    <row r="16" spans="1:12">
      <c r="A16" s="11" t="s">
        <v>64</v>
      </c>
    </row>
    <row r="17" spans="1:12">
      <c r="A17" s="14"/>
    </row>
    <row r="18" spans="1:12">
      <c r="A18" s="16">
        <v>60</v>
      </c>
    </row>
    <row r="19" spans="1:12">
      <c r="A19" s="16">
        <v>70</v>
      </c>
    </row>
    <row r="20" spans="1:12">
      <c r="A20" s="16">
        <v>80</v>
      </c>
    </row>
    <row r="21" spans="1:12">
      <c r="A21" s="16">
        <v>90</v>
      </c>
      <c r="I21" s="1" t="s">
        <v>0</v>
      </c>
      <c r="J21" s="1" t="s">
        <v>1</v>
      </c>
      <c r="K21" s="1" t="s">
        <v>2</v>
      </c>
      <c r="L21" s="1" t="s">
        <v>3</v>
      </c>
    </row>
    <row r="22" spans="1:12">
      <c r="A22" s="16">
        <v>100</v>
      </c>
      <c r="I22" s="2" t="s">
        <v>4</v>
      </c>
      <c r="J22" s="2">
        <v>85</v>
      </c>
      <c r="K22" s="2">
        <v>78</v>
      </c>
      <c r="L22" s="2">
        <v>90</v>
      </c>
    </row>
    <row r="23" spans="1:12">
      <c r="A23" s="11"/>
      <c r="I23" s="2" t="s">
        <v>5</v>
      </c>
      <c r="J23" s="2">
        <v>88</v>
      </c>
      <c r="K23" s="2">
        <v>82</v>
      </c>
      <c r="L23" s="2">
        <v>86</v>
      </c>
    </row>
    <row r="24" spans="1:12">
      <c r="A24" s="11" t="s">
        <v>65</v>
      </c>
      <c r="I24" s="2" t="s">
        <v>6</v>
      </c>
      <c r="J24" s="2">
        <v>91</v>
      </c>
      <c r="K24" s="2">
        <v>85</v>
      </c>
      <c r="L24" s="2">
        <v>88</v>
      </c>
    </row>
    <row r="25" spans="1:12">
      <c r="A25" s="11"/>
      <c r="I25" s="2" t="s">
        <v>7</v>
      </c>
      <c r="J25" s="2">
        <v>76</v>
      </c>
      <c r="K25" s="2">
        <v>70</v>
      </c>
      <c r="L25" s="2">
        <v>80</v>
      </c>
    </row>
    <row r="26" spans="1:12">
      <c r="A26" s="11" t="s">
        <v>66</v>
      </c>
      <c r="I26" s="2" t="s">
        <v>8</v>
      </c>
      <c r="J26" s="2">
        <v>95</v>
      </c>
      <c r="K26" s="2">
        <v>92</v>
      </c>
      <c r="L26" s="2">
        <v>94</v>
      </c>
    </row>
    <row r="27" spans="1:12">
      <c r="A27" s="11"/>
      <c r="I27" s="2" t="s">
        <v>9</v>
      </c>
      <c r="J27" s="2">
        <v>89</v>
      </c>
      <c r="K27" s="2">
        <v>85</v>
      </c>
      <c r="L27" s="2">
        <v>87</v>
      </c>
    </row>
    <row r="28" spans="1:12">
      <c r="A28" s="11" t="s">
        <v>67</v>
      </c>
      <c r="I28" s="2" t="s">
        <v>10</v>
      </c>
      <c r="J28" s="2">
        <v>72</v>
      </c>
      <c r="K28" s="2">
        <v>68</v>
      </c>
      <c r="L28" s="2">
        <v>75</v>
      </c>
    </row>
    <row r="29" spans="1:12">
      <c r="A29" s="11"/>
      <c r="I29" s="2" t="s">
        <v>11</v>
      </c>
      <c r="J29" s="2">
        <v>84</v>
      </c>
      <c r="K29" s="2">
        <v>80</v>
      </c>
      <c r="L29" s="2">
        <v>83</v>
      </c>
    </row>
    <row r="30" spans="1:12">
      <c r="A30" s="11" t="s">
        <v>68</v>
      </c>
      <c r="I30" s="2" t="s">
        <v>12</v>
      </c>
      <c r="J30" s="2">
        <v>90</v>
      </c>
      <c r="K30" s="2">
        <v>88</v>
      </c>
      <c r="L30" s="2">
        <v>89</v>
      </c>
    </row>
    <row r="31" spans="1:12">
      <c r="A31" s="11"/>
      <c r="I31" s="2" t="s">
        <v>13</v>
      </c>
      <c r="J31" s="2">
        <v>78</v>
      </c>
      <c r="K31" s="2">
        <v>74</v>
      </c>
      <c r="L31" s="2">
        <v>81</v>
      </c>
    </row>
    <row r="32" spans="1:12">
      <c r="A32" s="11" t="s">
        <v>69</v>
      </c>
    </row>
    <row r="33" spans="1:1">
      <c r="A33" s="11"/>
    </row>
    <row r="34" spans="1:1">
      <c r="A34" s="11" t="s">
        <v>70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E69C-4D64-46B4-8A1A-00A11192BFFB}">
  <dimension ref="A1:B6"/>
  <sheetViews>
    <sheetView workbookViewId="0">
      <selection activeCell="B6" sqref="B6"/>
    </sheetView>
  </sheetViews>
  <sheetFormatPr defaultRowHeight="14.4"/>
  <sheetData>
    <row r="1" spans="1:2">
      <c r="A1" s="4" t="s">
        <v>59</v>
      </c>
      <c r="B1" s="4" t="s">
        <v>58</v>
      </c>
    </row>
    <row r="2" spans="1:2">
      <c r="A2">
        <v>70</v>
      </c>
      <c r="B2">
        <v>0</v>
      </c>
    </row>
    <row r="3" spans="1:2">
      <c r="A3">
        <v>80</v>
      </c>
      <c r="B3">
        <v>3</v>
      </c>
    </row>
    <row r="4" spans="1:2">
      <c r="A4">
        <v>90</v>
      </c>
      <c r="B4">
        <v>4</v>
      </c>
    </row>
    <row r="5" spans="1:2">
      <c r="A5">
        <v>100</v>
      </c>
      <c r="B5">
        <v>2</v>
      </c>
    </row>
    <row r="6" spans="1:2" ht="15" thickBot="1">
      <c r="A6" s="3" t="s">
        <v>57</v>
      </c>
      <c r="B6" s="3">
        <v>0</v>
      </c>
    </row>
  </sheetData>
  <sortState xmlns:xlrd2="http://schemas.microsoft.com/office/spreadsheetml/2017/richdata2" ref="A2:A5">
    <sortCondition ref="A2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CA7A-A34E-4962-8C41-EB6955D3B800}">
  <dimension ref="A1:O75"/>
  <sheetViews>
    <sheetView tabSelected="1" topLeftCell="A13" workbookViewId="0">
      <selection activeCell="M35" sqref="M35"/>
    </sheetView>
  </sheetViews>
  <sheetFormatPr defaultRowHeight="14.4"/>
  <sheetData>
    <row r="1" spans="1:14">
      <c r="A1" s="1" t="s">
        <v>81</v>
      </c>
      <c r="B1" s="1" t="s">
        <v>82</v>
      </c>
      <c r="D1" t="e">
        <v>#N/A</v>
      </c>
    </row>
    <row r="2" spans="1:14" ht="15.6">
      <c r="A2" s="2" t="s">
        <v>83</v>
      </c>
      <c r="B2" s="2">
        <v>120</v>
      </c>
      <c r="D2" t="e">
        <v>#N/A</v>
      </c>
      <c r="N2" s="23" t="s">
        <v>130</v>
      </c>
    </row>
    <row r="3" spans="1:14">
      <c r="A3" s="2" t="s">
        <v>84</v>
      </c>
      <c r="B3" s="2">
        <v>135</v>
      </c>
      <c r="D3">
        <f t="shared" ref="D3:D8" si="0">AVERAGE(B3:B5)</f>
        <v>134.33333333333334</v>
      </c>
      <c r="N3" s="11"/>
    </row>
    <row r="4" spans="1:14">
      <c r="A4" s="2" t="s">
        <v>85</v>
      </c>
      <c r="B4" s="2">
        <v>128</v>
      </c>
      <c r="D4">
        <f t="shared" si="0"/>
        <v>139.33333333333334</v>
      </c>
      <c r="N4" s="11" t="s">
        <v>93</v>
      </c>
    </row>
    <row r="5" spans="1:14">
      <c r="A5" s="2" t="s">
        <v>86</v>
      </c>
      <c r="B5" s="2">
        <v>140</v>
      </c>
      <c r="D5">
        <f t="shared" si="0"/>
        <v>150</v>
      </c>
      <c r="N5" s="11"/>
    </row>
    <row r="6" spans="1:14">
      <c r="A6" s="2" t="s">
        <v>87</v>
      </c>
      <c r="B6" s="2">
        <v>150</v>
      </c>
      <c r="D6">
        <f t="shared" si="0"/>
        <v>155</v>
      </c>
      <c r="N6" s="11" t="s">
        <v>94</v>
      </c>
    </row>
    <row r="7" spans="1:14">
      <c r="A7" s="2" t="s">
        <v>88</v>
      </c>
      <c r="B7" s="2">
        <v>160</v>
      </c>
      <c r="D7">
        <f t="shared" si="0"/>
        <v>160</v>
      </c>
      <c r="N7" s="11"/>
    </row>
    <row r="8" spans="1:14">
      <c r="A8" s="2" t="s">
        <v>89</v>
      </c>
      <c r="B8" s="2">
        <v>155</v>
      </c>
      <c r="D8">
        <f t="shared" si="0"/>
        <v>163.33333333333334</v>
      </c>
      <c r="N8" s="11" t="s">
        <v>95</v>
      </c>
    </row>
    <row r="9" spans="1:14">
      <c r="A9" s="2" t="s">
        <v>90</v>
      </c>
      <c r="B9" s="2">
        <v>165</v>
      </c>
      <c r="D9">
        <f>AVERAGE(B9:B11)</f>
        <v>171.66666666666666</v>
      </c>
      <c r="N9" s="11"/>
    </row>
    <row r="10" spans="1:14">
      <c r="A10" s="2" t="s">
        <v>91</v>
      </c>
      <c r="B10" s="2">
        <v>170</v>
      </c>
      <c r="N10" s="11" t="s">
        <v>96</v>
      </c>
    </row>
    <row r="11" spans="1:14">
      <c r="A11" s="2" t="s">
        <v>92</v>
      </c>
      <c r="B11" s="2">
        <v>180</v>
      </c>
      <c r="N11" s="11"/>
    </row>
    <row r="12" spans="1:14">
      <c r="N12" s="11" t="s">
        <v>97</v>
      </c>
    </row>
    <row r="13" spans="1:14">
      <c r="N13" s="11"/>
    </row>
    <row r="14" spans="1:14">
      <c r="N14" s="11" t="s">
        <v>98</v>
      </c>
    </row>
    <row r="15" spans="1:14" ht="18">
      <c r="B15" s="24" t="s">
        <v>100</v>
      </c>
    </row>
    <row r="16" spans="1:14">
      <c r="B16" s="11"/>
      <c r="N16" t="s">
        <v>99</v>
      </c>
    </row>
    <row r="17" spans="2:13">
      <c r="B17" s="11" t="s">
        <v>101</v>
      </c>
    </row>
    <row r="18" spans="2:13">
      <c r="B18" s="11"/>
    </row>
    <row r="19" spans="2:13">
      <c r="B19" s="11" t="s">
        <v>102</v>
      </c>
    </row>
    <row r="20" spans="2:13" ht="28.8">
      <c r="B20" s="11"/>
      <c r="M20" s="21" t="s">
        <v>116</v>
      </c>
    </row>
    <row r="21" spans="2:13">
      <c r="B21" s="25" t="s">
        <v>103</v>
      </c>
      <c r="M21" s="26" t="s">
        <v>117</v>
      </c>
    </row>
    <row r="22" spans="2:13">
      <c r="B22" s="25"/>
      <c r="M22" t="s">
        <v>118</v>
      </c>
    </row>
    <row r="23" spans="2:13">
      <c r="B23" s="25" t="s">
        <v>104</v>
      </c>
    </row>
    <row r="24" spans="2:13">
      <c r="B24" s="11"/>
    </row>
    <row r="25" spans="2:13">
      <c r="B25" s="11" t="s">
        <v>105</v>
      </c>
    </row>
    <row r="29" spans="2:13" ht="18">
      <c r="B29" s="24" t="s">
        <v>106</v>
      </c>
    </row>
    <row r="30" spans="2:13">
      <c r="B30" s="11"/>
    </row>
    <row r="31" spans="2:13">
      <c r="B31" s="11" t="s">
        <v>107</v>
      </c>
    </row>
    <row r="32" spans="2:13">
      <c r="B32" s="11"/>
    </row>
    <row r="33" spans="2:2">
      <c r="B33" s="11" t="s">
        <v>108</v>
      </c>
    </row>
    <row r="34" spans="2:2">
      <c r="B34" s="11"/>
    </row>
    <row r="35" spans="2:2">
      <c r="B35" s="11" t="s">
        <v>109</v>
      </c>
    </row>
    <row r="36" spans="2:2">
      <c r="B36" s="11"/>
    </row>
    <row r="37" spans="2:2">
      <c r="B37" s="11" t="s">
        <v>110</v>
      </c>
    </row>
    <row r="41" spans="2:2" ht="18">
      <c r="B41" s="24" t="s">
        <v>111</v>
      </c>
    </row>
    <row r="42" spans="2:2">
      <c r="B42" s="11"/>
    </row>
    <row r="43" spans="2:2">
      <c r="B43" s="11" t="s">
        <v>112</v>
      </c>
    </row>
    <row r="44" spans="2:2">
      <c r="B44" s="11"/>
    </row>
    <row r="45" spans="2:2">
      <c r="B45" s="11" t="s">
        <v>113</v>
      </c>
    </row>
    <row r="46" spans="2:2">
      <c r="B46" s="11"/>
    </row>
    <row r="47" spans="2:2">
      <c r="B47" s="11" t="s">
        <v>114</v>
      </c>
    </row>
    <row r="48" spans="2:2">
      <c r="B48" s="11"/>
    </row>
    <row r="50" spans="1:15">
      <c r="A50" s="1" t="s">
        <v>81</v>
      </c>
      <c r="B50" s="1" t="s">
        <v>82</v>
      </c>
    </row>
    <row r="51" spans="1:15" ht="23.4">
      <c r="A51" s="2" t="s">
        <v>83</v>
      </c>
      <c r="B51" s="2">
        <v>120</v>
      </c>
      <c r="C51" t="e">
        <v>#N/A</v>
      </c>
      <c r="O51" s="15" t="s">
        <v>129</v>
      </c>
    </row>
    <row r="52" spans="1:15">
      <c r="A52" s="2" t="s">
        <v>84</v>
      </c>
      <c r="B52" s="2">
        <v>135</v>
      </c>
      <c r="C52">
        <f>B2</f>
        <v>120</v>
      </c>
    </row>
    <row r="53" spans="1:15">
      <c r="A53" s="2" t="s">
        <v>85</v>
      </c>
      <c r="B53" s="2">
        <v>128</v>
      </c>
      <c r="C53">
        <f t="shared" ref="C53:C60" si="1">0.7*B3+0.3*C52</f>
        <v>130.5</v>
      </c>
      <c r="O53" s="6" t="s">
        <v>36</v>
      </c>
    </row>
    <row r="54" spans="1:15">
      <c r="A54" s="2" t="s">
        <v>86</v>
      </c>
      <c r="B54" s="2">
        <v>140</v>
      </c>
      <c r="C54">
        <f t="shared" si="1"/>
        <v>128.75</v>
      </c>
      <c r="O54" s="11"/>
    </row>
    <row r="55" spans="1:15">
      <c r="A55" s="2" t="s">
        <v>87</v>
      </c>
      <c r="B55" s="2">
        <v>150</v>
      </c>
      <c r="C55">
        <f t="shared" si="1"/>
        <v>136.625</v>
      </c>
      <c r="O55" s="11" t="s">
        <v>119</v>
      </c>
    </row>
    <row r="56" spans="1:15">
      <c r="A56" s="2" t="s">
        <v>88</v>
      </c>
      <c r="B56" s="2">
        <v>160</v>
      </c>
      <c r="C56">
        <f t="shared" si="1"/>
        <v>145.98750000000001</v>
      </c>
      <c r="O56" s="11"/>
    </row>
    <row r="57" spans="1:15">
      <c r="A57" s="2" t="s">
        <v>89</v>
      </c>
      <c r="B57" s="2">
        <v>155</v>
      </c>
      <c r="C57">
        <f t="shared" si="1"/>
        <v>155.79624999999999</v>
      </c>
      <c r="O57" s="11" t="s">
        <v>120</v>
      </c>
    </row>
    <row r="58" spans="1:15">
      <c r="A58" s="2" t="s">
        <v>90</v>
      </c>
      <c r="B58" s="2">
        <v>165</v>
      </c>
      <c r="C58">
        <f t="shared" si="1"/>
        <v>155.23887500000001</v>
      </c>
      <c r="O58" s="11"/>
    </row>
    <row r="59" spans="1:15">
      <c r="A59" s="2" t="s">
        <v>91</v>
      </c>
      <c r="B59" s="2">
        <v>170</v>
      </c>
      <c r="C59">
        <f t="shared" si="1"/>
        <v>162.0716625</v>
      </c>
      <c r="O59" s="6" t="s">
        <v>63</v>
      </c>
    </row>
    <row r="60" spans="1:15">
      <c r="A60" s="2" t="s">
        <v>92</v>
      </c>
      <c r="B60" s="2">
        <v>180</v>
      </c>
      <c r="C60">
        <f t="shared" si="1"/>
        <v>167.62149875</v>
      </c>
      <c r="O60" s="11"/>
    </row>
    <row r="61" spans="1:15">
      <c r="O61" s="11" t="s">
        <v>121</v>
      </c>
    </row>
    <row r="62" spans="1:15">
      <c r="O62" s="11"/>
    </row>
    <row r="63" spans="1:15">
      <c r="O63" s="11" t="s">
        <v>122</v>
      </c>
    </row>
    <row r="64" spans="1:15">
      <c r="O64" s="11"/>
    </row>
    <row r="65" spans="15:15">
      <c r="O65" s="11" t="s">
        <v>123</v>
      </c>
    </row>
    <row r="66" spans="15:15">
      <c r="O66" s="11"/>
    </row>
    <row r="67" spans="15:15">
      <c r="O67" s="11" t="s">
        <v>124</v>
      </c>
    </row>
    <row r="68" spans="15:15">
      <c r="O68" s="11"/>
    </row>
    <row r="69" spans="15:15">
      <c r="O69" s="11" t="s">
        <v>125</v>
      </c>
    </row>
    <row r="70" spans="15:15">
      <c r="O70" s="11"/>
    </row>
    <row r="71" spans="15:15">
      <c r="O71" s="11" t="s">
        <v>126</v>
      </c>
    </row>
    <row r="73" spans="15:15">
      <c r="O73" s="6" t="s">
        <v>127</v>
      </c>
    </row>
    <row r="74" spans="15:15">
      <c r="O74" s="11"/>
    </row>
    <row r="75" spans="15:15">
      <c r="O75" s="11" t="s">
        <v>128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CA48-5953-4A55-9E14-C737760B3983}">
  <dimension ref="A1"/>
  <sheetViews>
    <sheetView workbookViewId="0">
      <selection activeCell="C3" sqref="C3"/>
    </sheetView>
  </sheetViews>
  <sheetFormatPr defaultRowHeight="14.4"/>
  <sheetData>
    <row r="1" spans="1:1">
      <c r="A1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819F-2A04-4E25-A8E1-CE7904321526}">
  <dimension ref="A1:P26"/>
  <sheetViews>
    <sheetView workbookViewId="0">
      <selection activeCell="G7" sqref="G7"/>
    </sheetView>
  </sheetViews>
  <sheetFormatPr defaultRowHeight="14.4"/>
  <cols>
    <col min="1" max="1" width="14.33203125" customWidth="1"/>
    <col min="2" max="2" width="14.109375" customWidth="1"/>
    <col min="3" max="3" width="14.33203125" customWidth="1"/>
    <col min="4" max="4" width="26.109375" customWidth="1"/>
  </cols>
  <sheetData>
    <row r="1" spans="1:16" ht="23.4">
      <c r="A1" s="1" t="s">
        <v>0</v>
      </c>
      <c r="B1" s="1" t="s">
        <v>1</v>
      </c>
      <c r="C1" s="1" t="s">
        <v>2</v>
      </c>
      <c r="D1" s="1" t="s">
        <v>3</v>
      </c>
      <c r="F1" s="15" t="s">
        <v>131</v>
      </c>
    </row>
    <row r="2" spans="1:16">
      <c r="A2" s="2" t="s">
        <v>4</v>
      </c>
      <c r="B2" s="2">
        <v>85</v>
      </c>
      <c r="C2" s="2">
        <v>78</v>
      </c>
      <c r="D2" s="2">
        <v>90</v>
      </c>
    </row>
    <row r="3" spans="1:16">
      <c r="A3" s="2" t="s">
        <v>5</v>
      </c>
      <c r="B3" s="2">
        <v>88</v>
      </c>
      <c r="C3" s="2">
        <v>82</v>
      </c>
      <c r="D3" s="2">
        <v>86</v>
      </c>
      <c r="F3" s="6" t="s">
        <v>36</v>
      </c>
      <c r="N3" s="6" t="s">
        <v>131</v>
      </c>
    </row>
    <row r="4" spans="1:16" ht="15" thickBot="1">
      <c r="A4" s="2" t="s">
        <v>6</v>
      </c>
      <c r="B4" s="2">
        <v>91</v>
      </c>
      <c r="C4" s="2">
        <v>85</v>
      </c>
      <c r="D4" s="2">
        <v>88</v>
      </c>
      <c r="F4" s="11"/>
    </row>
    <row r="5" spans="1:16">
      <c r="A5" s="2" t="s">
        <v>7</v>
      </c>
      <c r="B5" s="2">
        <v>76</v>
      </c>
      <c r="C5" s="2">
        <v>70</v>
      </c>
      <c r="D5" s="2">
        <v>80</v>
      </c>
      <c r="F5" s="11" t="s">
        <v>132</v>
      </c>
      <c r="N5" s="4"/>
      <c r="O5" s="4" t="s">
        <v>1</v>
      </c>
      <c r="P5" s="4" t="s">
        <v>2</v>
      </c>
    </row>
    <row r="6" spans="1:16">
      <c r="A6" s="2" t="s">
        <v>8</v>
      </c>
      <c r="B6" s="2">
        <v>95</v>
      </c>
      <c r="C6" s="2">
        <v>92</v>
      </c>
      <c r="D6" s="2">
        <v>94</v>
      </c>
      <c r="F6" s="11"/>
      <c r="N6" t="s">
        <v>14</v>
      </c>
      <c r="O6">
        <v>84.8</v>
      </c>
      <c r="P6">
        <v>80.2</v>
      </c>
    </row>
    <row r="7" spans="1:16">
      <c r="A7" s="2" t="s">
        <v>9</v>
      </c>
      <c r="B7" s="2">
        <v>89</v>
      </c>
      <c r="C7" s="2">
        <v>85</v>
      </c>
      <c r="D7" s="2">
        <v>87</v>
      </c>
      <c r="F7" s="11" t="s">
        <v>133</v>
      </c>
      <c r="N7" t="s">
        <v>142</v>
      </c>
      <c r="O7">
        <v>53.955555555555549</v>
      </c>
      <c r="P7">
        <v>60.622222222222227</v>
      </c>
    </row>
    <row r="8" spans="1:16">
      <c r="A8" s="2" t="s">
        <v>10</v>
      </c>
      <c r="B8" s="2">
        <v>72</v>
      </c>
      <c r="C8" s="2">
        <v>68</v>
      </c>
      <c r="D8" s="2">
        <v>75</v>
      </c>
      <c r="N8" t="s">
        <v>143</v>
      </c>
      <c r="O8">
        <v>10</v>
      </c>
      <c r="P8">
        <v>10</v>
      </c>
    </row>
    <row r="9" spans="1:16">
      <c r="A9" s="2" t="s">
        <v>11</v>
      </c>
      <c r="B9" s="2">
        <v>84</v>
      </c>
      <c r="C9" s="2">
        <v>80</v>
      </c>
      <c r="D9" s="2">
        <v>83</v>
      </c>
      <c r="F9" s="6" t="s">
        <v>63</v>
      </c>
      <c r="N9" t="s">
        <v>144</v>
      </c>
      <c r="O9">
        <v>9</v>
      </c>
      <c r="P9">
        <v>9</v>
      </c>
    </row>
    <row r="10" spans="1:16">
      <c r="A10" s="2" t="s">
        <v>12</v>
      </c>
      <c r="B10" s="2">
        <v>90</v>
      </c>
      <c r="C10" s="2">
        <v>88</v>
      </c>
      <c r="D10" s="2">
        <v>89</v>
      </c>
      <c r="F10" s="11"/>
      <c r="N10" t="s">
        <v>145</v>
      </c>
      <c r="O10">
        <v>0.89002932551319625</v>
      </c>
    </row>
    <row r="11" spans="1:16">
      <c r="A11" s="2" t="s">
        <v>13</v>
      </c>
      <c r="B11" s="2">
        <v>78</v>
      </c>
      <c r="C11" s="2">
        <v>74</v>
      </c>
      <c r="D11" s="2">
        <v>81</v>
      </c>
      <c r="F11" s="11" t="s">
        <v>134</v>
      </c>
      <c r="N11" t="s">
        <v>146</v>
      </c>
      <c r="O11">
        <v>0.43253383267524703</v>
      </c>
    </row>
    <row r="12" spans="1:16" ht="15" thickBot="1">
      <c r="F12" s="11"/>
      <c r="N12" s="3" t="s">
        <v>147</v>
      </c>
      <c r="O12" s="3">
        <v>0.3145749061513079</v>
      </c>
      <c r="P12" s="3"/>
    </row>
    <row r="13" spans="1:16">
      <c r="F13" s="11" t="s">
        <v>135</v>
      </c>
    </row>
    <row r="14" spans="1:16">
      <c r="B14" t="s">
        <v>14</v>
      </c>
      <c r="C14">
        <f>AVERAGE(C2:C11)</f>
        <v>80.2</v>
      </c>
      <c r="D14" t="s">
        <v>205</v>
      </c>
      <c r="F14" s="11"/>
    </row>
    <row r="15" spans="1:16">
      <c r="A15">
        <f>MEDIAN(B2:B11)</f>
        <v>86.5</v>
      </c>
      <c r="B15" t="s">
        <v>203</v>
      </c>
      <c r="C15">
        <f>MEDIAN(C2:C11)</f>
        <v>81</v>
      </c>
      <c r="D15" t="s">
        <v>206</v>
      </c>
      <c r="F15" s="11" t="s">
        <v>136</v>
      </c>
    </row>
    <row r="16" spans="1:16">
      <c r="A16">
        <f>MODE(C2:C11)</f>
        <v>85</v>
      </c>
      <c r="B16" t="s">
        <v>17</v>
      </c>
      <c r="C16">
        <f>MODE(C2:C11)</f>
        <v>85</v>
      </c>
      <c r="F16" s="11"/>
    </row>
    <row r="17" spans="2:6">
      <c r="F17" s="11" t="s">
        <v>137</v>
      </c>
    </row>
    <row r="18" spans="2:6">
      <c r="B18" t="s">
        <v>204</v>
      </c>
      <c r="C18" s="30">
        <f>_xlfn.PERCENTILE.INC(C2:C11, 0.25)</f>
        <v>75</v>
      </c>
      <c r="F18" s="11"/>
    </row>
    <row r="19" spans="2:6">
      <c r="F19" s="11" t="s">
        <v>138</v>
      </c>
    </row>
    <row r="20" spans="2:6">
      <c r="C20">
        <f>_xlfn.PERCENTILE.INC(C2:C11, 1)</f>
        <v>92</v>
      </c>
    </row>
    <row r="21" spans="2:6">
      <c r="F21" s="6" t="s">
        <v>127</v>
      </c>
    </row>
    <row r="22" spans="2:6">
      <c r="F22" t="s">
        <v>139</v>
      </c>
    </row>
    <row r="23" spans="2:6">
      <c r="F23" s="11"/>
    </row>
    <row r="24" spans="2:6">
      <c r="F24" s="11" t="s">
        <v>140</v>
      </c>
    </row>
    <row r="25" spans="2:6">
      <c r="F25" s="11"/>
    </row>
    <row r="26" spans="2:6">
      <c r="F26" s="11" t="s">
        <v>141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22D2-5CC7-48D7-AF88-2846988046CF}">
  <dimension ref="A1:P28"/>
  <sheetViews>
    <sheetView topLeftCell="A7" workbookViewId="0">
      <selection activeCell="I27" sqref="I27"/>
    </sheetView>
  </sheetViews>
  <sheetFormatPr defaultRowHeight="14.4"/>
  <sheetData>
    <row r="1" spans="1:16" ht="23.4">
      <c r="A1" s="1" t="s">
        <v>0</v>
      </c>
      <c r="B1" s="1" t="s">
        <v>1</v>
      </c>
      <c r="C1" s="1" t="s">
        <v>2</v>
      </c>
      <c r="D1" s="1" t="s">
        <v>3</v>
      </c>
      <c r="I1" s="15" t="s">
        <v>148</v>
      </c>
      <c r="N1" t="s">
        <v>170</v>
      </c>
    </row>
    <row r="2" spans="1:16">
      <c r="A2" s="2" t="s">
        <v>4</v>
      </c>
      <c r="B2" s="2">
        <v>85</v>
      </c>
      <c r="C2" s="2">
        <v>78</v>
      </c>
      <c r="D2" s="2">
        <v>90</v>
      </c>
      <c r="N2" t="s">
        <v>171</v>
      </c>
    </row>
    <row r="3" spans="1:16">
      <c r="A3" s="2" t="s">
        <v>5</v>
      </c>
      <c r="B3" s="2">
        <v>88</v>
      </c>
      <c r="C3" s="2">
        <v>82</v>
      </c>
      <c r="D3" s="2">
        <v>86</v>
      </c>
      <c r="I3" s="6" t="s">
        <v>36</v>
      </c>
    </row>
    <row r="4" spans="1:16">
      <c r="A4" s="2" t="s">
        <v>6</v>
      </c>
      <c r="B4" s="2">
        <v>91</v>
      </c>
      <c r="C4" s="2">
        <v>85</v>
      </c>
      <c r="D4" s="2">
        <v>88</v>
      </c>
      <c r="I4" s="11"/>
      <c r="P4" t="s">
        <v>172</v>
      </c>
    </row>
    <row r="5" spans="1:16">
      <c r="A5" s="2" t="s">
        <v>7</v>
      </c>
      <c r="B5" s="2">
        <v>76</v>
      </c>
      <c r="C5" s="2">
        <v>70</v>
      </c>
      <c r="D5" s="2">
        <v>80</v>
      </c>
      <c r="I5" s="11" t="s">
        <v>149</v>
      </c>
      <c r="P5" t="s">
        <v>173</v>
      </c>
    </row>
    <row r="6" spans="1:16">
      <c r="A6" s="2" t="s">
        <v>8</v>
      </c>
      <c r="B6" s="2">
        <v>95</v>
      </c>
      <c r="C6" s="2">
        <v>92</v>
      </c>
      <c r="D6" s="2">
        <v>94</v>
      </c>
      <c r="I6" s="11"/>
      <c r="P6" s="11"/>
    </row>
    <row r="7" spans="1:16">
      <c r="A7" s="2" t="s">
        <v>9</v>
      </c>
      <c r="B7" s="2">
        <v>89</v>
      </c>
      <c r="C7" s="2">
        <v>85</v>
      </c>
      <c r="D7" s="2">
        <v>87</v>
      </c>
      <c r="I7" s="11" t="s">
        <v>150</v>
      </c>
      <c r="P7" s="11" t="s">
        <v>174</v>
      </c>
    </row>
    <row r="8" spans="1:16">
      <c r="A8" s="2" t="s">
        <v>10</v>
      </c>
      <c r="B8" s="2">
        <v>72</v>
      </c>
      <c r="C8" s="2">
        <v>68</v>
      </c>
      <c r="D8" s="2">
        <v>75</v>
      </c>
      <c r="P8" s="11"/>
    </row>
    <row r="9" spans="1:16">
      <c r="A9" s="2" t="s">
        <v>11</v>
      </c>
      <c r="B9" s="2">
        <v>84</v>
      </c>
      <c r="C9" s="2">
        <v>80</v>
      </c>
      <c r="D9" s="2">
        <v>83</v>
      </c>
      <c r="I9" s="6" t="s">
        <v>63</v>
      </c>
      <c r="P9" s="11" t="s">
        <v>175</v>
      </c>
    </row>
    <row r="10" spans="1:16">
      <c r="A10" s="2" t="s">
        <v>12</v>
      </c>
      <c r="B10" s="2">
        <v>90</v>
      </c>
      <c r="C10" s="2">
        <v>88</v>
      </c>
      <c r="D10" s="2">
        <v>89</v>
      </c>
      <c r="I10" s="11"/>
      <c r="P10" s="11"/>
    </row>
    <row r="11" spans="1:16">
      <c r="A11" s="2" t="s">
        <v>13</v>
      </c>
      <c r="B11" s="2">
        <v>78</v>
      </c>
      <c r="C11" s="2">
        <v>74</v>
      </c>
      <c r="D11" s="2">
        <v>81</v>
      </c>
      <c r="I11" s="11" t="s">
        <v>151</v>
      </c>
      <c r="P11" s="11" t="s">
        <v>176</v>
      </c>
    </row>
    <row r="12" spans="1:16">
      <c r="I12" s="11"/>
    </row>
    <row r="13" spans="1:16">
      <c r="I13" s="11" t="s">
        <v>152</v>
      </c>
      <c r="P13" t="s">
        <v>177</v>
      </c>
    </row>
    <row r="14" spans="1:16">
      <c r="A14" t="s">
        <v>157</v>
      </c>
      <c r="I14" s="11"/>
    </row>
    <row r="15" spans="1:16">
      <c r="I15" s="11" t="s">
        <v>153</v>
      </c>
      <c r="P15" t="s">
        <v>178</v>
      </c>
    </row>
    <row r="16" spans="1:16" ht="15" thickBot="1">
      <c r="A16" t="s">
        <v>158</v>
      </c>
      <c r="I16" s="11"/>
    </row>
    <row r="17" spans="1:16">
      <c r="A17" s="4" t="s">
        <v>159</v>
      </c>
      <c r="B17" s="4" t="s">
        <v>26</v>
      </c>
      <c r="C17" s="4" t="s">
        <v>25</v>
      </c>
      <c r="D17" s="4" t="s">
        <v>160</v>
      </c>
      <c r="E17" s="4" t="s">
        <v>142</v>
      </c>
      <c r="I17" s="11" t="s">
        <v>154</v>
      </c>
      <c r="P17" t="s">
        <v>179</v>
      </c>
    </row>
    <row r="18" spans="1:16">
      <c r="A18" t="s">
        <v>1</v>
      </c>
      <c r="B18">
        <v>10</v>
      </c>
      <c r="C18">
        <v>848</v>
      </c>
      <c r="D18">
        <v>84.8</v>
      </c>
      <c r="E18">
        <v>53.955555555555549</v>
      </c>
      <c r="I18" s="11"/>
    </row>
    <row r="19" spans="1:16">
      <c r="A19" t="s">
        <v>2</v>
      </c>
      <c r="B19">
        <v>10</v>
      </c>
      <c r="C19">
        <v>802</v>
      </c>
      <c r="D19">
        <v>80.2</v>
      </c>
      <c r="E19">
        <v>60.622222222222227</v>
      </c>
      <c r="I19" s="11" t="s">
        <v>138</v>
      </c>
    </row>
    <row r="20" spans="1:16" ht="15" thickBot="1">
      <c r="A20" s="3" t="s">
        <v>3</v>
      </c>
      <c r="B20" s="3">
        <v>10</v>
      </c>
      <c r="C20" s="3">
        <v>853</v>
      </c>
      <c r="D20" s="3">
        <v>85.3</v>
      </c>
      <c r="E20" s="3">
        <v>31.122222222222224</v>
      </c>
    </row>
    <row r="21" spans="1:16">
      <c r="I21" s="6" t="s">
        <v>127</v>
      </c>
    </row>
    <row r="22" spans="1:16">
      <c r="I22" s="11"/>
    </row>
    <row r="23" spans="1:16" ht="15" thickBot="1">
      <c r="A23" t="s">
        <v>161</v>
      </c>
      <c r="I23" s="11" t="s">
        <v>155</v>
      </c>
    </row>
    <row r="24" spans="1:16">
      <c r="A24" s="4" t="s">
        <v>162</v>
      </c>
      <c r="B24" s="4" t="s">
        <v>163</v>
      </c>
      <c r="C24" s="4" t="s">
        <v>144</v>
      </c>
      <c r="D24" s="4" t="s">
        <v>164</v>
      </c>
      <c r="E24" s="4" t="s">
        <v>145</v>
      </c>
      <c r="F24" s="4" t="s">
        <v>165</v>
      </c>
      <c r="G24" s="4" t="s">
        <v>166</v>
      </c>
      <c r="I24" s="11"/>
    </row>
    <row r="25" spans="1:16">
      <c r="A25" t="s">
        <v>167</v>
      </c>
      <c r="B25">
        <v>158.06666666666601</v>
      </c>
      <c r="C25">
        <v>2</v>
      </c>
      <c r="D25">
        <v>79.033333333333076</v>
      </c>
      <c r="E25">
        <v>1.627316403568972</v>
      </c>
      <c r="F25">
        <v>0.21513959664323501</v>
      </c>
      <c r="G25">
        <v>3.3541308285291991</v>
      </c>
      <c r="I25" s="11" t="s">
        <v>156</v>
      </c>
    </row>
    <row r="26" spans="1:16">
      <c r="A26" t="s">
        <v>168</v>
      </c>
      <c r="B26">
        <v>1311.3000000000002</v>
      </c>
      <c r="C26">
        <v>27</v>
      </c>
      <c r="D26">
        <v>48.56666666666667</v>
      </c>
    </row>
    <row r="28" spans="1:16" ht="15" thickBot="1">
      <c r="A28" s="3" t="s">
        <v>169</v>
      </c>
      <c r="B28" s="3">
        <v>1469.3666666666663</v>
      </c>
      <c r="C28" s="3">
        <v>29</v>
      </c>
      <c r="D28" s="3"/>
      <c r="E28" s="3"/>
      <c r="F28" s="3"/>
      <c r="G28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D73E-C9CF-470C-A1D5-65635F81014A}">
  <dimension ref="A1:O18"/>
  <sheetViews>
    <sheetView workbookViewId="0">
      <selection activeCell="P12" sqref="P12"/>
    </sheetView>
  </sheetViews>
  <sheetFormatPr defaultRowHeight="14.4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F1" t="s">
        <v>180</v>
      </c>
    </row>
    <row r="2" spans="1:15" ht="15" thickBot="1">
      <c r="A2" s="2" t="s">
        <v>4</v>
      </c>
      <c r="B2" s="2">
        <v>85</v>
      </c>
      <c r="C2" s="2">
        <v>78</v>
      </c>
      <c r="D2" s="2">
        <v>90</v>
      </c>
    </row>
    <row r="3" spans="1:15">
      <c r="A3" s="2" t="s">
        <v>5</v>
      </c>
      <c r="B3" s="2">
        <v>88</v>
      </c>
      <c r="C3" s="2">
        <v>82</v>
      </c>
      <c r="D3" s="2">
        <v>86</v>
      </c>
      <c r="F3" s="27" t="s">
        <v>181</v>
      </c>
      <c r="G3" s="27"/>
    </row>
    <row r="4" spans="1:15" ht="31.2">
      <c r="A4" s="2" t="s">
        <v>6</v>
      </c>
      <c r="B4" s="2">
        <v>91</v>
      </c>
      <c r="C4" s="2">
        <v>85</v>
      </c>
      <c r="D4" s="2">
        <v>88</v>
      </c>
      <c r="F4" t="s">
        <v>182</v>
      </c>
      <c r="G4">
        <v>0.98580298069796912</v>
      </c>
      <c r="O4" s="29" t="s">
        <v>199</v>
      </c>
    </row>
    <row r="5" spans="1:15">
      <c r="A5" s="2" t="s">
        <v>7</v>
      </c>
      <c r="B5" s="2">
        <v>76</v>
      </c>
      <c r="C5" s="2">
        <v>70</v>
      </c>
      <c r="D5" s="2">
        <v>80</v>
      </c>
      <c r="F5" t="s">
        <v>183</v>
      </c>
      <c r="G5">
        <v>0.97180751675300059</v>
      </c>
    </row>
    <row r="6" spans="1:15">
      <c r="A6" s="2" t="s">
        <v>8</v>
      </c>
      <c r="B6" s="2">
        <v>95</v>
      </c>
      <c r="C6" s="2">
        <v>92</v>
      </c>
      <c r="D6" s="2">
        <v>94</v>
      </c>
      <c r="F6" t="s">
        <v>184</v>
      </c>
      <c r="G6">
        <v>0.96778001914628642</v>
      </c>
      <c r="O6" t="s">
        <v>200</v>
      </c>
    </row>
    <row r="7" spans="1:15">
      <c r="A7" s="2" t="s">
        <v>9</v>
      </c>
      <c r="B7" s="2">
        <v>89</v>
      </c>
      <c r="C7" s="2">
        <v>85</v>
      </c>
      <c r="D7" s="2">
        <v>87</v>
      </c>
      <c r="F7" t="s">
        <v>15</v>
      </c>
      <c r="G7">
        <v>1.4750402391439439</v>
      </c>
    </row>
    <row r="8" spans="1:15" ht="15" thickBot="1">
      <c r="A8" s="2" t="s">
        <v>10</v>
      </c>
      <c r="B8" s="2">
        <v>72</v>
      </c>
      <c r="C8" s="2">
        <v>68</v>
      </c>
      <c r="D8" s="2">
        <v>75</v>
      </c>
      <c r="F8" s="3" t="s">
        <v>143</v>
      </c>
      <c r="G8" s="3">
        <v>9</v>
      </c>
    </row>
    <row r="9" spans="1:15">
      <c r="A9" s="2" t="s">
        <v>11</v>
      </c>
      <c r="B9" s="2">
        <v>84</v>
      </c>
      <c r="C9" s="2">
        <v>80</v>
      </c>
      <c r="D9" s="2">
        <v>83</v>
      </c>
    </row>
    <row r="10" spans="1:15" ht="15" thickBot="1">
      <c r="A10" s="2" t="s">
        <v>12</v>
      </c>
      <c r="B10" s="2">
        <v>90</v>
      </c>
      <c r="C10" s="2">
        <v>88</v>
      </c>
      <c r="D10" s="2">
        <v>89</v>
      </c>
      <c r="F10" t="s">
        <v>161</v>
      </c>
      <c r="O10" t="s">
        <v>195</v>
      </c>
    </row>
    <row r="11" spans="1:15">
      <c r="A11" s="2" t="s">
        <v>13</v>
      </c>
      <c r="B11" s="2">
        <v>78</v>
      </c>
      <c r="C11" s="2">
        <v>74</v>
      </c>
      <c r="D11" s="2">
        <v>81</v>
      </c>
      <c r="F11" s="4"/>
      <c r="G11" s="4" t="s">
        <v>144</v>
      </c>
      <c r="H11" s="4" t="s">
        <v>163</v>
      </c>
      <c r="I11" s="4" t="s">
        <v>164</v>
      </c>
      <c r="J11" s="4" t="s">
        <v>145</v>
      </c>
      <c r="K11" s="4" t="s">
        <v>188</v>
      </c>
      <c r="O11" t="s">
        <v>196</v>
      </c>
    </row>
    <row r="12" spans="1:15">
      <c r="F12" t="s">
        <v>185</v>
      </c>
      <c r="G12">
        <v>1</v>
      </c>
      <c r="H12">
        <v>524.99201627256537</v>
      </c>
      <c r="I12">
        <v>524.99201627256537</v>
      </c>
      <c r="J12">
        <v>241.29313326789114</v>
      </c>
      <c r="K12">
        <v>1.1071779498274058E-6</v>
      </c>
      <c r="O12" s="11"/>
    </row>
    <row r="13" spans="1:15">
      <c r="F13" t="s">
        <v>186</v>
      </c>
      <c r="G13">
        <v>7</v>
      </c>
      <c r="H13">
        <v>15.230205949656764</v>
      </c>
      <c r="I13">
        <v>2.1757437070938233</v>
      </c>
      <c r="O13" s="28" t="s">
        <v>197</v>
      </c>
    </row>
    <row r="14" spans="1:15" ht="15" thickBot="1">
      <c r="F14" s="3" t="s">
        <v>169</v>
      </c>
      <c r="G14" s="3">
        <v>8</v>
      </c>
      <c r="H14" s="3">
        <v>540.22222222222217</v>
      </c>
      <c r="I14" s="3"/>
      <c r="J14" s="3"/>
      <c r="K14" s="3"/>
      <c r="O14" s="11"/>
    </row>
    <row r="15" spans="1:15" ht="15" thickBot="1">
      <c r="O15" s="28" t="s">
        <v>198</v>
      </c>
    </row>
    <row r="16" spans="1:15">
      <c r="F16" s="4"/>
      <c r="G16" s="4" t="s">
        <v>189</v>
      </c>
      <c r="H16" s="4" t="s">
        <v>15</v>
      </c>
      <c r="I16" s="4" t="s">
        <v>190</v>
      </c>
      <c r="J16" s="4" t="s">
        <v>165</v>
      </c>
      <c r="K16" s="4" t="s">
        <v>191</v>
      </c>
      <c r="L16" s="4" t="s">
        <v>192</v>
      </c>
      <c r="M16" s="4" t="s">
        <v>193</v>
      </c>
      <c r="N16" s="4" t="s">
        <v>194</v>
      </c>
    </row>
    <row r="17" spans="6:15">
      <c r="F17" t="s">
        <v>187</v>
      </c>
      <c r="G17">
        <v>-7.7089244851258201</v>
      </c>
      <c r="H17">
        <v>5.6962670568801306</v>
      </c>
      <c r="I17">
        <v>-1.3533291905292149</v>
      </c>
      <c r="J17">
        <v>0.21802374720039608</v>
      </c>
      <c r="K17">
        <v>-21.178455711373633</v>
      </c>
      <c r="L17">
        <v>5.7606067411219932</v>
      </c>
      <c r="M17">
        <v>-21.178455711373633</v>
      </c>
      <c r="N17">
        <v>5.7606067411219932</v>
      </c>
      <c r="O17" t="s">
        <v>201</v>
      </c>
    </row>
    <row r="18" spans="6:15" ht="15" thickBot="1">
      <c r="F18" s="3">
        <v>85</v>
      </c>
      <c r="G18" s="3">
        <v>1.0398169336384435</v>
      </c>
      <c r="H18" s="3">
        <v>6.6939799047591259E-2</v>
      </c>
      <c r="I18" s="3">
        <v>15.533613013973635</v>
      </c>
      <c r="J18" s="3">
        <v>1.1071779498274077E-6</v>
      </c>
      <c r="K18" s="3">
        <v>0.88152946141376165</v>
      </c>
      <c r="L18" s="3">
        <v>1.1981044058631254</v>
      </c>
      <c r="M18" s="3">
        <v>0.88152946141376165</v>
      </c>
      <c r="N18" s="3">
        <v>1.1981044058631254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3BDD-8981-4F2E-AE87-2F84C9FFD863}">
  <dimension ref="A1:D11"/>
  <sheetViews>
    <sheetView workbookViewId="0">
      <selection activeCell="D8" sqref="D8"/>
    </sheetView>
  </sheetViews>
  <sheetFormatPr defaultRowHeight="14.4"/>
  <sheetData>
    <row r="1" spans="1:4" ht="28.8">
      <c r="A1" s="1" t="s">
        <v>0</v>
      </c>
      <c r="B1" s="1" t="s">
        <v>1</v>
      </c>
      <c r="C1" s="1" t="s">
        <v>3</v>
      </c>
      <c r="D1" s="1" t="s">
        <v>202</v>
      </c>
    </row>
    <row r="2" spans="1:4">
      <c r="A2" s="2" t="s">
        <v>4</v>
      </c>
      <c r="B2" s="2">
        <v>85</v>
      </c>
      <c r="C2" s="2">
        <v>90</v>
      </c>
      <c r="D2" s="2">
        <v>1</v>
      </c>
    </row>
    <row r="3" spans="1:4">
      <c r="A3" s="2" t="s">
        <v>5</v>
      </c>
      <c r="B3" s="2">
        <v>88</v>
      </c>
      <c r="C3" s="2">
        <v>86</v>
      </c>
      <c r="D3" s="2">
        <v>1</v>
      </c>
    </row>
    <row r="4" spans="1:4">
      <c r="A4" s="2" t="s">
        <v>6</v>
      </c>
      <c r="B4" s="2">
        <v>91</v>
      </c>
      <c r="C4" s="2">
        <v>88</v>
      </c>
      <c r="D4" s="2">
        <v>1</v>
      </c>
    </row>
    <row r="5" spans="1:4">
      <c r="A5" s="2" t="s">
        <v>7</v>
      </c>
      <c r="B5" s="2">
        <v>76</v>
      </c>
      <c r="C5" s="2">
        <v>80</v>
      </c>
      <c r="D5" s="2">
        <v>0</v>
      </c>
    </row>
    <row r="6" spans="1:4">
      <c r="A6" s="2" t="s">
        <v>8</v>
      </c>
      <c r="B6" s="2">
        <v>95</v>
      </c>
      <c r="C6" s="2">
        <v>94</v>
      </c>
      <c r="D6" s="2">
        <v>1</v>
      </c>
    </row>
    <row r="7" spans="1:4">
      <c r="A7" s="2" t="s">
        <v>9</v>
      </c>
      <c r="B7" s="2">
        <v>89</v>
      </c>
      <c r="C7" s="2">
        <v>87</v>
      </c>
      <c r="D7" s="2">
        <v>1</v>
      </c>
    </row>
    <row r="8" spans="1:4">
      <c r="A8" s="2" t="s">
        <v>10</v>
      </c>
      <c r="B8" s="2">
        <v>72</v>
      </c>
      <c r="C8" s="2">
        <v>75</v>
      </c>
      <c r="D8" s="2">
        <v>0</v>
      </c>
    </row>
    <row r="9" spans="1:4">
      <c r="A9" s="2" t="s">
        <v>11</v>
      </c>
      <c r="B9" s="2">
        <v>84</v>
      </c>
      <c r="C9" s="2">
        <v>83</v>
      </c>
      <c r="D9" s="2">
        <v>0</v>
      </c>
    </row>
    <row r="10" spans="1:4">
      <c r="A10" s="2" t="s">
        <v>12</v>
      </c>
      <c r="B10" s="2">
        <v>90</v>
      </c>
      <c r="C10" s="2">
        <v>89</v>
      </c>
      <c r="D10" s="2">
        <v>1</v>
      </c>
    </row>
    <row r="11" spans="1:4">
      <c r="A11" s="2" t="s">
        <v>13</v>
      </c>
      <c r="B11" s="2">
        <v>78</v>
      </c>
      <c r="C11" s="2">
        <v>81</v>
      </c>
      <c r="D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Sheet2</vt:lpstr>
      <vt:lpstr>29.8.24</vt:lpstr>
      <vt:lpstr>Des stat</vt:lpstr>
      <vt:lpstr>Sheet1</vt:lpstr>
      <vt:lpstr>Corr</vt:lpstr>
      <vt:lpstr>Covar</vt:lpstr>
      <vt:lpstr>Histogram</vt:lpstr>
      <vt:lpstr>Sheet9</vt:lpstr>
      <vt:lpstr>30.8.24</vt:lpstr>
      <vt:lpstr>EXP smoothing</vt:lpstr>
      <vt:lpstr>P-value</vt:lpstr>
      <vt:lpstr>Annova</vt:lpstr>
      <vt:lpstr>Lin Reg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Benisha Murugan</dc:creator>
  <cp:lastModifiedBy>Benisha Murugan</cp:lastModifiedBy>
  <dcterms:created xsi:type="dcterms:W3CDTF">2025-08-29T01:38:34Z</dcterms:created>
  <dcterms:modified xsi:type="dcterms:W3CDTF">2025-12-12T06:05:27Z</dcterms:modified>
</cp:coreProperties>
</file>